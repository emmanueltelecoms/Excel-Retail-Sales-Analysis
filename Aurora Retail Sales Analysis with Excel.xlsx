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cuments\Telecoms Pratice\Aurora Retail Sales Analysis\"/>
    </mc:Choice>
  </mc:AlternateContent>
  <xr:revisionPtr revIDLastSave="0" documentId="13_ncr:1_{59CC1D97-74B7-41ED-9EAF-77DB22B7D608}" xr6:coauthVersionLast="47" xr6:coauthVersionMax="47" xr10:uidLastSave="{00000000-0000-0000-0000-000000000000}"/>
  <bookViews>
    <workbookView xWindow="-120" yWindow="-120" windowWidth="24240" windowHeight="13140" activeTab="7" xr2:uid="{879AF55F-7E21-4886-BFAD-ED0958DF5A3C}"/>
  </bookViews>
  <sheets>
    <sheet name="Raw Data" sheetId="1" r:id="rId1"/>
    <sheet name="Cleaned Data" sheetId="2" r:id="rId2"/>
    <sheet name="Analysis Sheet" sheetId="3" r:id="rId3"/>
    <sheet name="Sheet7" sheetId="16" state="hidden" r:id="rId4"/>
    <sheet name="KPIS" sheetId="11" state="hidden" r:id="rId5"/>
    <sheet name="KPI's" sheetId="8" state="hidden" r:id="rId6"/>
    <sheet name="Dashoards insights" sheetId="6" r:id="rId7"/>
    <sheet name="Dashboard" sheetId="10" r:id="rId8"/>
    <sheet name="Sheet3" sheetId="9" state="hidden" r:id="rId9"/>
    <sheet name="Sheet1" sheetId="4" state="hidden" r:id="rId10"/>
  </sheets>
  <definedNames>
    <definedName name="_xlnm._FilterDatabase" localSheetId="1" hidden="1">'Cleaned Data'!$H$1:$H$482</definedName>
    <definedName name="_xlnm._FilterDatabase" localSheetId="0" hidden="1">'Raw Data'!$A$1:$H$500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3" l="1"/>
  <c r="B31" i="3"/>
  <c r="B29" i="3"/>
  <c r="B26" i="3"/>
  <c r="B27" i="3"/>
  <c r="B28" i="3"/>
  <c r="B25" i="3"/>
  <c r="K3" i="3"/>
  <c r="K4" i="3"/>
  <c r="B13" i="8"/>
  <c r="U7" i="2"/>
  <c r="U8" i="2"/>
  <c r="G27" i="3"/>
  <c r="G28" i="3"/>
  <c r="G29" i="3"/>
  <c r="G30" i="3"/>
  <c r="G26" i="3"/>
  <c r="G19" i="3"/>
  <c r="G20" i="3"/>
  <c r="F8" i="4"/>
  <c r="G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2" i="2"/>
  <c r="G3" i="3"/>
  <c r="G4" i="3"/>
  <c r="G5" i="3"/>
  <c r="G6" i="3"/>
  <c r="G7" i="3"/>
  <c r="G8" i="3"/>
  <c r="G9" i="3"/>
  <c r="G10" i="3"/>
  <c r="G11" i="3"/>
  <c r="G12" i="3"/>
  <c r="G13" i="3"/>
  <c r="B19" i="3"/>
  <c r="B18" i="3"/>
  <c r="C14" i="3"/>
  <c r="C13" i="3"/>
  <c r="B14" i="3"/>
  <c r="B13" i="3"/>
  <c r="B3" i="3"/>
  <c r="B6" i="3"/>
  <c r="B4" i="3"/>
  <c r="B5" i="3"/>
  <c r="C3" i="3"/>
  <c r="C6" i="3"/>
  <c r="C4" i="3"/>
  <c r="C5" i="3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3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2" i="2"/>
  <c r="C7" i="3" l="1"/>
  <c r="B7" i="3"/>
</calcChain>
</file>

<file path=xl/sharedStrings.xml><?xml version="1.0" encoding="utf-8"?>
<sst xmlns="http://schemas.openxmlformats.org/spreadsheetml/2006/main" count="6077" uniqueCount="1972">
  <si>
    <t>Name</t>
  </si>
  <si>
    <t>Age</t>
  </si>
  <si>
    <t>Gender</t>
  </si>
  <si>
    <t xml:space="preserve">    C660</t>
  </si>
  <si>
    <t xml:space="preserve">    C256</t>
  </si>
  <si>
    <t>Male</t>
  </si>
  <si>
    <t>Marrd</t>
  </si>
  <si>
    <t xml:space="preserve">    C920</t>
  </si>
  <si>
    <t>Female</t>
  </si>
  <si>
    <t xml:space="preserve">    C422</t>
  </si>
  <si>
    <t xml:space="preserve">    C586</t>
  </si>
  <si>
    <t xml:space="preserve">    C927</t>
  </si>
  <si>
    <t xml:space="preserve">    C704</t>
  </si>
  <si>
    <t xml:space="preserve">    C081</t>
  </si>
  <si>
    <t xml:space="preserve">    C464</t>
  </si>
  <si>
    <t xml:space="preserve">    C658</t>
  </si>
  <si>
    <t xml:space="preserve">    C164</t>
  </si>
  <si>
    <t xml:space="preserve">    C141</t>
  </si>
  <si>
    <t xml:space="preserve">    C829</t>
  </si>
  <si>
    <t xml:space="preserve">    C373</t>
  </si>
  <si>
    <t xml:space="preserve">    C679</t>
  </si>
  <si>
    <t>Paul Hughes</t>
  </si>
  <si>
    <t xml:space="preserve">    C292</t>
  </si>
  <si>
    <t>Julia Ochoa</t>
  </si>
  <si>
    <t xml:space="preserve">    C712</t>
  </si>
  <si>
    <t>Elizabeth Evans</t>
  </si>
  <si>
    <t xml:space="preserve">    C710</t>
  </si>
  <si>
    <t>michelle carter</t>
  </si>
  <si>
    <t xml:space="preserve">    C754</t>
  </si>
  <si>
    <t>Amber Carson</t>
  </si>
  <si>
    <t>FEMale</t>
  </si>
  <si>
    <t xml:space="preserve">    C668</t>
  </si>
  <si>
    <t>Thomas Morris</t>
  </si>
  <si>
    <t xml:space="preserve">    C267</t>
  </si>
  <si>
    <t>Gregory Weber</t>
  </si>
  <si>
    <t xml:space="preserve">    C240</t>
  </si>
  <si>
    <t>joshua oconnor</t>
  </si>
  <si>
    <t xml:space="preserve">    C516</t>
  </si>
  <si>
    <t>Heather Carlson</t>
  </si>
  <si>
    <t xml:space="preserve">    C251</t>
  </si>
  <si>
    <t>JEREMIAH MUNOZ</t>
  </si>
  <si>
    <t xml:space="preserve">    C061</t>
  </si>
  <si>
    <t>Nicholas White</t>
  </si>
  <si>
    <t xml:space="preserve">    C067</t>
  </si>
  <si>
    <t>Maria George</t>
  </si>
  <si>
    <t xml:space="preserve">    C645</t>
  </si>
  <si>
    <t>Jeremy Wood</t>
  </si>
  <si>
    <t xml:space="preserve">    C799</t>
  </si>
  <si>
    <t xml:space="preserve">    C623</t>
  </si>
  <si>
    <t xml:space="preserve">    C306</t>
  </si>
  <si>
    <t xml:space="preserve">    C213</t>
  </si>
  <si>
    <t xml:space="preserve">    C031</t>
  </si>
  <si>
    <t xml:space="preserve">    C994</t>
  </si>
  <si>
    <t xml:space="preserve">    C834</t>
  </si>
  <si>
    <t xml:space="preserve">    C066</t>
  </si>
  <si>
    <t xml:space="preserve">    C039</t>
  </si>
  <si>
    <t xml:space="preserve">    C299</t>
  </si>
  <si>
    <t>MALE</t>
  </si>
  <si>
    <t xml:space="preserve">    C811</t>
  </si>
  <si>
    <t xml:space="preserve">    C622</t>
  </si>
  <si>
    <t xml:space="preserve">    C161</t>
  </si>
  <si>
    <t xml:space="preserve">    C711</t>
  </si>
  <si>
    <t xml:space="preserve">    C321</t>
  </si>
  <si>
    <t xml:space="preserve">    C110</t>
  </si>
  <si>
    <t xml:space="preserve">    C442</t>
  </si>
  <si>
    <t xml:space="preserve">    C703</t>
  </si>
  <si>
    <t xml:space="preserve">    C506</t>
  </si>
  <si>
    <t xml:space="preserve">    C123</t>
  </si>
  <si>
    <t xml:space="preserve">    C484</t>
  </si>
  <si>
    <t xml:space="preserve">    C107</t>
  </si>
  <si>
    <t>female</t>
  </si>
  <si>
    <t xml:space="preserve">    C032</t>
  </si>
  <si>
    <t xml:space="preserve">    C188</t>
  </si>
  <si>
    <t xml:space="preserve">    C409</t>
  </si>
  <si>
    <t xml:space="preserve">    C732</t>
  </si>
  <si>
    <t xml:space="preserve">    C938</t>
  </si>
  <si>
    <t xml:space="preserve">    C738</t>
  </si>
  <si>
    <t xml:space="preserve">    C497</t>
  </si>
  <si>
    <t xml:space="preserve">    C676</t>
  </si>
  <si>
    <t xml:space="preserve">    C300</t>
  </si>
  <si>
    <t xml:space="preserve">    C793</t>
  </si>
  <si>
    <t xml:space="preserve">    C646</t>
  </si>
  <si>
    <t xml:space="preserve">    C150</t>
  </si>
  <si>
    <t xml:space="preserve">    C761</t>
  </si>
  <si>
    <t xml:space="preserve">    C410</t>
  </si>
  <si>
    <t xml:space="preserve">    C364</t>
  </si>
  <si>
    <t xml:space="preserve">    C709</t>
  </si>
  <si>
    <t xml:space="preserve">    C241</t>
  </si>
  <si>
    <t xml:space="preserve">    C181</t>
  </si>
  <si>
    <t xml:space="preserve">    C908</t>
  </si>
  <si>
    <t xml:space="preserve">    C041</t>
  </si>
  <si>
    <t xml:space="preserve">    C486</t>
  </si>
  <si>
    <t xml:space="preserve">    C194</t>
  </si>
  <si>
    <t xml:space="preserve">    C877</t>
  </si>
  <si>
    <t xml:space="preserve">    C101</t>
  </si>
  <si>
    <t xml:space="preserve">    C617</t>
  </si>
  <si>
    <t xml:space="preserve">    C018</t>
  </si>
  <si>
    <t xml:space="preserve">    C965</t>
  </si>
  <si>
    <t xml:space="preserve">    C505</t>
  </si>
  <si>
    <t xml:space="preserve">    C671</t>
  </si>
  <si>
    <t xml:space="preserve">    C677</t>
  </si>
  <si>
    <t xml:space="preserve">    C479</t>
  </si>
  <si>
    <t xml:space="preserve">    C760</t>
  </si>
  <si>
    <t xml:space="preserve">    C608</t>
  </si>
  <si>
    <t xml:space="preserve">    C852</t>
  </si>
  <si>
    <t xml:space="preserve">    C913</t>
  </si>
  <si>
    <t xml:space="preserve">    C583</t>
  </si>
  <si>
    <t xml:space="preserve">    C317</t>
  </si>
  <si>
    <t xml:space="preserve">    C272</t>
  </si>
  <si>
    <t xml:space="preserve">    C462</t>
  </si>
  <si>
    <t xml:space="preserve">    C665</t>
  </si>
  <si>
    <t xml:space="preserve">    C928</t>
  </si>
  <si>
    <t xml:space="preserve">    C280</t>
  </si>
  <si>
    <t xml:space="preserve">    C338</t>
  </si>
  <si>
    <t xml:space="preserve">    C421</t>
  </si>
  <si>
    <t xml:space="preserve">    C215</t>
  </si>
  <si>
    <t xml:space="preserve">    C750</t>
  </si>
  <si>
    <t xml:space="preserve">    C104</t>
  </si>
  <si>
    <t xml:space="preserve">    C805</t>
  </si>
  <si>
    <t xml:space="preserve">    C574</t>
  </si>
  <si>
    <t xml:space="preserve">    C305</t>
  </si>
  <si>
    <t xml:space="preserve">    C087</t>
  </si>
  <si>
    <t xml:space="preserve">    C072</t>
  </si>
  <si>
    <t xml:space="preserve">    C116</t>
  </si>
  <si>
    <t xml:space="preserve">    C637</t>
  </si>
  <si>
    <t xml:space="preserve">    C924</t>
  </si>
  <si>
    <t xml:space="preserve">    C172</t>
  </si>
  <si>
    <t xml:space="preserve">    C048</t>
  </si>
  <si>
    <t xml:space="preserve">    C526</t>
  </si>
  <si>
    <t xml:space="preserve">    C056</t>
  </si>
  <si>
    <t xml:space="preserve">    C902</t>
  </si>
  <si>
    <t xml:space="preserve">    C562</t>
  </si>
  <si>
    <t xml:space="preserve">    C674</t>
  </si>
  <si>
    <t xml:space="preserve">    C533</t>
  </si>
  <si>
    <t xml:space="preserve">    C390</t>
  </si>
  <si>
    <t xml:space="preserve">    C649</t>
  </si>
  <si>
    <t xml:space="preserve">    C858</t>
  </si>
  <si>
    <t xml:space="preserve">    C051</t>
  </si>
  <si>
    <t xml:space="preserve">    C214</t>
  </si>
  <si>
    <t xml:space="preserve">    C798</t>
  </si>
  <si>
    <t xml:space="preserve">    C380</t>
  </si>
  <si>
    <t xml:space="preserve">    C977</t>
  </si>
  <si>
    <t xml:space="preserve">    C832</t>
  </si>
  <si>
    <t xml:space="preserve">    C778</t>
  </si>
  <si>
    <t xml:space="preserve">    C997</t>
  </si>
  <si>
    <t xml:space="preserve">    C095</t>
  </si>
  <si>
    <t xml:space="preserve">    C814</t>
  </si>
  <si>
    <t xml:space="preserve">    C507</t>
  </si>
  <si>
    <t xml:space="preserve">    C936</t>
  </si>
  <si>
    <t xml:space="preserve">    C535</t>
  </si>
  <si>
    <t xml:space="preserve">    C879</t>
  </si>
  <si>
    <t xml:space="preserve">    C552</t>
  </si>
  <si>
    <t xml:space="preserve">    C940</t>
  </si>
  <si>
    <t xml:space="preserve">    C463</t>
  </si>
  <si>
    <t xml:space="preserve">    C804</t>
  </si>
  <si>
    <t xml:space="preserve">    C744</t>
  </si>
  <si>
    <t xml:space="preserve">    C336</t>
  </si>
  <si>
    <t xml:space="preserve">    C262</t>
  </si>
  <si>
    <t xml:space="preserve">    C807</t>
  </si>
  <si>
    <t xml:space="preserve">    C459</t>
  </si>
  <si>
    <t xml:space="preserve">    C984</t>
  </si>
  <si>
    <t xml:space="preserve">    C074</t>
  </si>
  <si>
    <t xml:space="preserve">    C846</t>
  </si>
  <si>
    <t xml:space="preserve">    C986</t>
  </si>
  <si>
    <t xml:space="preserve">    C742</t>
  </si>
  <si>
    <t xml:space="preserve">    C725</t>
  </si>
  <si>
    <t xml:space="preserve">    C650</t>
  </si>
  <si>
    <t xml:space="preserve">    C699</t>
  </si>
  <si>
    <t xml:space="preserve">    C151</t>
  </si>
  <si>
    <t xml:space="preserve">    C040</t>
  </si>
  <si>
    <t xml:space="preserve">    C571</t>
  </si>
  <si>
    <t xml:space="preserve">    C455</t>
  </si>
  <si>
    <t xml:space="preserve">    C964</t>
  </si>
  <si>
    <t xml:space="preserve">    C981</t>
  </si>
  <si>
    <t xml:space="preserve">    C379</t>
  </si>
  <si>
    <t xml:space="preserve">    C063</t>
  </si>
  <si>
    <t xml:space="preserve">    C355</t>
  </si>
  <si>
    <t xml:space="preserve">    C714</t>
  </si>
  <si>
    <t xml:space="preserve">    C891</t>
  </si>
  <si>
    <t xml:space="preserve">    C035</t>
  </si>
  <si>
    <t xml:space="preserve">    C057</t>
  </si>
  <si>
    <t xml:space="preserve">    C093</t>
  </si>
  <si>
    <t xml:space="preserve">    C252</t>
  </si>
  <si>
    <t xml:space="preserve">    C615</t>
  </si>
  <si>
    <t xml:space="preserve">    C268</t>
  </si>
  <si>
    <t xml:space="preserve">    C897</t>
  </si>
  <si>
    <t xml:space="preserve">    C376</t>
  </si>
  <si>
    <t xml:space="preserve">    C980</t>
  </si>
  <si>
    <t xml:space="preserve">    C298</t>
  </si>
  <si>
    <t>Single</t>
  </si>
  <si>
    <t xml:space="preserve">    C126</t>
  </si>
  <si>
    <t xml:space="preserve">    C166</t>
  </si>
  <si>
    <t xml:space="preserve">    C426</t>
  </si>
  <si>
    <t xml:space="preserve">    C157</t>
  </si>
  <si>
    <t xml:space="preserve">    C720</t>
  </si>
  <si>
    <t xml:space="preserve">    C481</t>
  </si>
  <si>
    <t xml:space="preserve">    C764</t>
  </si>
  <si>
    <t xml:space="preserve">    C337</t>
  </si>
  <si>
    <t xml:space="preserve">    C458</t>
  </si>
  <si>
    <t xml:space="preserve">    C553</t>
  </si>
  <si>
    <t xml:space="preserve">    C862</t>
  </si>
  <si>
    <t xml:space="preserve">    C998</t>
  </si>
  <si>
    <t xml:space="preserve">    C644</t>
  </si>
  <si>
    <t xml:space="preserve">    C322</t>
  </si>
  <si>
    <t xml:space="preserve">    C312</t>
  </si>
  <si>
    <t xml:space="preserve">    C145</t>
  </si>
  <si>
    <t xml:space="preserve">    C509</t>
  </si>
  <si>
    <t xml:space="preserve">    C890</t>
  </si>
  <si>
    <t xml:space="preserve">    C352</t>
  </si>
  <si>
    <t xml:space="preserve">    C494</t>
  </si>
  <si>
    <t xml:space="preserve">    C763</t>
  </si>
  <si>
    <t xml:space="preserve">    C568</t>
  </si>
  <si>
    <t xml:space="preserve">    C498</t>
  </si>
  <si>
    <t xml:space="preserve">    C648</t>
  </si>
  <si>
    <t xml:space="preserve">    C653</t>
  </si>
  <si>
    <t xml:space="preserve">    C013</t>
  </si>
  <si>
    <t xml:space="preserve">    C386</t>
  </si>
  <si>
    <t xml:space="preserve">    C730</t>
  </si>
  <si>
    <t xml:space="preserve">    C178</t>
  </si>
  <si>
    <t xml:space="preserve">    C614</t>
  </si>
  <si>
    <t xml:space="preserve">    C861</t>
  </si>
  <si>
    <t xml:space="preserve">    C367</t>
  </si>
  <si>
    <t xml:space="preserve">    C635</t>
  </si>
  <si>
    <t xml:space="preserve">    C745</t>
  </si>
  <si>
    <t xml:space="preserve">    C843</t>
  </si>
  <si>
    <t xml:space="preserve">    C071</t>
  </si>
  <si>
    <t xml:space="preserve">    C886</t>
  </si>
  <si>
    <t xml:space="preserve">    C691</t>
  </si>
  <si>
    <t xml:space="preserve">    C303</t>
  </si>
  <si>
    <t xml:space="preserve">    C183</t>
  </si>
  <si>
    <t xml:space="preserve">    C273</t>
  </si>
  <si>
    <t xml:space="preserve">    C132</t>
  </si>
  <si>
    <t xml:space="preserve">    C129</t>
  </si>
  <si>
    <t xml:space="preserve">    C029</t>
  </si>
  <si>
    <t xml:space="preserve">    C466</t>
  </si>
  <si>
    <t xml:space="preserve">    C159</t>
  </si>
  <si>
    <t xml:space="preserve">    C860</t>
  </si>
  <si>
    <t xml:space="preserve">    C591</t>
  </si>
  <si>
    <t xml:space="preserve">    C734</t>
  </si>
  <si>
    <t xml:space="preserve">    C209</t>
  </si>
  <si>
    <t xml:space="preserve">    C197</t>
  </si>
  <si>
    <t xml:space="preserve">    C090</t>
  </si>
  <si>
    <t xml:space="preserve">    C330</t>
  </si>
  <si>
    <t xml:space="preserve">    C482</t>
  </si>
  <si>
    <t xml:space="preserve">    C468</t>
  </si>
  <si>
    <t xml:space="preserve">    C176</t>
  </si>
  <si>
    <t xml:space="preserve">    C431</t>
  </si>
  <si>
    <t xml:space="preserve">    C404</t>
  </si>
  <si>
    <t xml:space="preserve">    C070</t>
  </si>
  <si>
    <t xml:space="preserve">    C206</t>
  </si>
  <si>
    <t xml:space="preserve">    C480</t>
  </si>
  <si>
    <t xml:space="preserve">    C824</t>
  </si>
  <si>
    <t xml:space="preserve">    C248</t>
  </si>
  <si>
    <t xml:space="preserve">    C149</t>
  </si>
  <si>
    <t xml:space="preserve">    C578</t>
  </si>
  <si>
    <t xml:space="preserve">    C469</t>
  </si>
  <si>
    <t xml:space="preserve">    C304</t>
  </si>
  <si>
    <t xml:space="preserve">    C740</t>
  </si>
  <si>
    <t xml:space="preserve">    C739</t>
  </si>
  <si>
    <t xml:space="preserve">    C546</t>
  </si>
  <si>
    <t xml:space="preserve">    C500</t>
  </si>
  <si>
    <t xml:space="preserve">    C802</t>
  </si>
  <si>
    <t xml:space="preserve">    C830</t>
  </si>
  <si>
    <t xml:space="preserve">    C901</t>
  </si>
  <si>
    <t xml:space="preserve">    C375</t>
  </si>
  <si>
    <t xml:space="preserve">    C757</t>
  </si>
  <si>
    <t xml:space="preserve">    C539</t>
  </si>
  <si>
    <t xml:space="preserve">    C774</t>
  </si>
  <si>
    <t xml:space="preserve">    C271</t>
  </si>
  <si>
    <t xml:space="preserve">    C513</t>
  </si>
  <si>
    <t xml:space="preserve">    C953</t>
  </si>
  <si>
    <t xml:space="preserve">    C925</t>
  </si>
  <si>
    <t xml:space="preserve">    C440</t>
  </si>
  <si>
    <t xml:space="preserve">    C756</t>
  </si>
  <si>
    <t xml:space="preserve">    C403</t>
  </si>
  <si>
    <t xml:space="preserve">    C963</t>
  </si>
  <si>
    <t xml:space="preserve">    C131</t>
  </si>
  <si>
    <t xml:space="preserve">    C706</t>
  </si>
  <si>
    <t xml:space="preserve">    C856</t>
  </si>
  <si>
    <t xml:space="preserve">    C415</t>
  </si>
  <si>
    <t xml:space="preserve">    C849</t>
  </si>
  <si>
    <t xml:space="preserve">    C329</t>
  </si>
  <si>
    <t xml:space="preserve">    C695</t>
  </si>
  <si>
    <t xml:space="preserve">    C381</t>
  </si>
  <si>
    <t xml:space="preserve">    C982</t>
  </si>
  <si>
    <t xml:space="preserve">    C640</t>
  </si>
  <si>
    <t xml:space="preserve">    C332</t>
  </si>
  <si>
    <t xml:space="preserve">    C389</t>
  </si>
  <si>
    <t xml:space="preserve">    C826</t>
  </si>
  <si>
    <t xml:space="preserve">    C512</t>
  </si>
  <si>
    <t xml:space="preserve">    C949</t>
  </si>
  <si>
    <t xml:space="preserve">    C716</t>
  </si>
  <si>
    <t xml:space="preserve">    C200</t>
  </si>
  <si>
    <t xml:space="preserve">    C697</t>
  </si>
  <si>
    <t xml:space="preserve">    C626</t>
  </si>
  <si>
    <t xml:space="preserve">    C225</t>
  </si>
  <si>
    <t xml:space="preserve">    C530</t>
  </si>
  <si>
    <t xml:space="preserve">    C663</t>
  </si>
  <si>
    <t xml:space="preserve">    C400</t>
  </si>
  <si>
    <t xml:space="preserve">    C978</t>
  </si>
  <si>
    <t xml:space="preserve">    C781</t>
  </si>
  <si>
    <t xml:space="preserve">    C134</t>
  </si>
  <si>
    <t xml:space="preserve">    C666</t>
  </si>
  <si>
    <t xml:space="preserve">    C385</t>
  </si>
  <si>
    <t xml:space="preserve">    C340</t>
  </si>
  <si>
    <t xml:space="preserve">    C477</t>
  </si>
  <si>
    <t xml:space="preserve">    C672</t>
  </si>
  <si>
    <t xml:space="preserve">    C405</t>
  </si>
  <si>
    <t xml:space="preserve">    C870</t>
  </si>
  <si>
    <t xml:space="preserve">    C488</t>
  </si>
  <si>
    <t xml:space="preserve">    C822</t>
  </si>
  <si>
    <t xml:space="preserve">    C196</t>
  </si>
  <si>
    <t xml:space="preserve">    C896</t>
  </si>
  <si>
    <t xml:space="preserve">    C471</t>
  </si>
  <si>
    <t xml:space="preserve">    C864</t>
  </si>
  <si>
    <t xml:space="preserve">    C163</t>
  </si>
  <si>
    <t xml:space="preserve">    C396</t>
  </si>
  <si>
    <t xml:space="preserve">    C260</t>
  </si>
  <si>
    <t xml:space="preserve">    C619</t>
  </si>
  <si>
    <t xml:space="preserve">    C043</t>
  </si>
  <si>
    <t xml:space="preserve">    C139</t>
  </si>
  <si>
    <t xml:space="preserve">    C388</t>
  </si>
  <si>
    <t xml:space="preserve">    C545</t>
  </si>
  <si>
    <t xml:space="preserve">    C721</t>
  </si>
  <si>
    <t xml:space="preserve">    C995</t>
  </si>
  <si>
    <t xml:space="preserve">    C394</t>
  </si>
  <si>
    <t xml:space="preserve">    C597</t>
  </si>
  <si>
    <t xml:space="preserve">    C930</t>
  </si>
  <si>
    <t xml:space="preserve">    C113</t>
  </si>
  <si>
    <t xml:space="preserve">    C572</t>
  </si>
  <si>
    <t xml:space="preserve">    C142</t>
  </si>
  <si>
    <t xml:space="preserve">    C098</t>
  </si>
  <si>
    <t xml:space="preserve">    C495</t>
  </si>
  <si>
    <t xml:space="preserve">    C683</t>
  </si>
  <si>
    <t xml:space="preserve">    C520</t>
  </si>
  <si>
    <t xml:space="preserve">    C258</t>
  </si>
  <si>
    <t xml:space="preserve">    C604</t>
  </si>
  <si>
    <t xml:space="preserve">    C320</t>
  </si>
  <si>
    <t xml:space="preserve">    C055</t>
  </si>
  <si>
    <t xml:space="preserve">    C144</t>
  </si>
  <si>
    <t xml:space="preserve">    C345</t>
  </si>
  <si>
    <t xml:space="preserve">    C438</t>
  </si>
  <si>
    <t xml:space="preserve">    C948</t>
  </si>
  <si>
    <t xml:space="preserve">    C983</t>
  </si>
  <si>
    <t xml:space="preserve">    C058</t>
  </si>
  <si>
    <t xml:space="preserve">    C182</t>
  </si>
  <si>
    <t xml:space="preserve">    C485</t>
  </si>
  <si>
    <t xml:space="preserve">    C083</t>
  </si>
  <si>
    <t xml:space="preserve">    C175</t>
  </si>
  <si>
    <t xml:space="preserve">    C448</t>
  </si>
  <si>
    <t xml:space="preserve">    C728</t>
  </si>
  <si>
    <t xml:space="preserve">    C598</t>
  </si>
  <si>
    <t xml:space="preserve">    C907</t>
  </si>
  <si>
    <t xml:space="preserve">    C759</t>
  </si>
  <si>
    <t xml:space="preserve">    C698</t>
  </si>
  <si>
    <t xml:space="preserve">    C831</t>
  </si>
  <si>
    <t xml:space="preserve">    C202</t>
  </si>
  <si>
    <t xml:space="preserve">    C457</t>
  </si>
  <si>
    <t xml:space="preserve">    C282</t>
  </si>
  <si>
    <t xml:space="preserve">    C723</t>
  </si>
  <si>
    <t xml:space="preserve">    C199</t>
  </si>
  <si>
    <t xml:space="preserve">    C951</t>
  </si>
  <si>
    <t xml:space="preserve">    C594</t>
  </si>
  <si>
    <t xml:space="preserve">    C590</t>
  </si>
  <si>
    <t xml:space="preserve">    C372</t>
  </si>
  <si>
    <t xml:space="preserve">    C693</t>
  </si>
  <si>
    <t xml:space="preserve">    C966</t>
  </si>
  <si>
    <t xml:space="preserve">    C731</t>
  </si>
  <si>
    <t xml:space="preserve">    C593</t>
  </si>
  <si>
    <t xml:space="preserve">    C724</t>
  </si>
  <si>
    <t xml:space="preserve">    C770</t>
  </si>
  <si>
    <t xml:space="preserve">    C511</t>
  </si>
  <si>
    <t xml:space="preserve">    C004</t>
  </si>
  <si>
    <t xml:space="preserve">    C360</t>
  </si>
  <si>
    <t xml:space="preserve">    C813</t>
  </si>
  <si>
    <t xml:space="preserve">    C436</t>
  </si>
  <si>
    <t xml:space="preserve">    C905</t>
  </si>
  <si>
    <t xml:space="preserve">    C239</t>
  </si>
  <si>
    <t xml:space="preserve">    C943</t>
  </si>
  <si>
    <t xml:space="preserve">    C257</t>
  </si>
  <si>
    <t xml:space="preserve">    C044</t>
  </si>
  <si>
    <t xml:space="preserve">    C776</t>
  </si>
  <si>
    <t xml:space="preserve">    C012</t>
  </si>
  <si>
    <t xml:space="preserve">    C075</t>
  </si>
  <si>
    <t xml:space="preserve">    C967</t>
  </si>
  <si>
    <t xml:space="preserve">    C165</t>
  </si>
  <si>
    <t xml:space="preserve">    C103</t>
  </si>
  <si>
    <t xml:space="preserve">    C259</t>
  </si>
  <si>
    <t xml:space="preserve">    C517</t>
  </si>
  <si>
    <t xml:space="preserve">    C359</t>
  </si>
  <si>
    <t xml:space="preserve">    C315</t>
  </si>
  <si>
    <t xml:space="preserve">    C291</t>
  </si>
  <si>
    <t xml:space="preserve">    C253</t>
  </si>
  <si>
    <t xml:space="preserve">    C685</t>
  </si>
  <si>
    <t xml:space="preserve">    C371</t>
  </si>
  <si>
    <t xml:space="preserve">    C606</t>
  </si>
  <si>
    <t>MAlE</t>
  </si>
  <si>
    <t xml:space="preserve">    C189</t>
  </si>
  <si>
    <t xml:space="preserve">    C868</t>
  </si>
  <si>
    <t xml:space="preserve">    C565</t>
  </si>
  <si>
    <t xml:space="preserve">    C952</t>
  </si>
  <si>
    <t xml:space="preserve">    C528</t>
  </si>
  <si>
    <t xml:space="preserve">    C859</t>
  </si>
  <si>
    <t xml:space="preserve">    C478</t>
  </si>
  <si>
    <t xml:space="preserve">    C840</t>
  </si>
  <si>
    <t xml:space="preserve">    C899</t>
  </si>
  <si>
    <t xml:space="preserve">    C692</t>
  </si>
  <si>
    <t xml:space="preserve">    C263</t>
  </si>
  <si>
    <t xml:space="preserve">    C201</t>
  </si>
  <si>
    <t xml:space="preserve">    C812</t>
  </si>
  <si>
    <t xml:space="preserve">    C543</t>
  </si>
  <si>
    <t xml:space="preserve">    C496</t>
  </si>
  <si>
    <t xml:space="preserve">    C857</t>
  </si>
  <si>
    <t xml:space="preserve">    C838</t>
  </si>
  <si>
    <t xml:space="preserve">    C795</t>
  </si>
  <si>
    <t xml:space="preserve">    C603</t>
  </si>
  <si>
    <t xml:space="preserve">    C550</t>
  </si>
  <si>
    <t xml:space="preserve">    C009</t>
  </si>
  <si>
    <t xml:space="preserve">    C634</t>
  </si>
  <si>
    <t xml:space="preserve">    C667</t>
  </si>
  <si>
    <t xml:space="preserve">    C060</t>
  </si>
  <si>
    <t xml:space="preserve">    C765</t>
  </si>
  <si>
    <t xml:space="preserve">    C839</t>
  </si>
  <si>
    <t xml:space="preserve">    C885</t>
  </si>
  <si>
    <t xml:space="preserve">    C844</t>
  </si>
  <si>
    <t xml:space="preserve">    C086</t>
  </si>
  <si>
    <t xml:space="preserve">    C609</t>
  </si>
  <si>
    <t xml:space="preserve">    C684</t>
  </si>
  <si>
    <t xml:space="preserve">    C450</t>
  </si>
  <si>
    <t xml:space="preserve">    C106</t>
  </si>
  <si>
    <t xml:space="preserve">    C751</t>
  </si>
  <si>
    <t xml:space="preserve">    C818</t>
  </si>
  <si>
    <t xml:space="preserve">    C289</t>
  </si>
  <si>
    <t xml:space="preserve">    C417</t>
  </si>
  <si>
    <t xml:space="preserve">    C851</t>
  </si>
  <si>
    <t xml:space="preserve">    C015</t>
  </si>
  <si>
    <t xml:space="preserve">    C534</t>
  </si>
  <si>
    <t xml:space="preserve">    C042</t>
  </si>
  <si>
    <t xml:space="preserve">    C976</t>
  </si>
  <si>
    <t xml:space="preserve">    C446</t>
  </si>
  <si>
    <t xml:space="preserve">    C062</t>
  </si>
  <si>
    <t xml:space="preserve">    C030</t>
  </si>
  <si>
    <t xml:space="preserve">    C729</t>
  </si>
  <si>
    <t xml:space="preserve">    C642</t>
  </si>
  <si>
    <t xml:space="preserve">    C173</t>
  </si>
  <si>
    <t xml:space="preserve">    C950</t>
  </si>
  <si>
    <t xml:space="preserve">    C378</t>
  </si>
  <si>
    <t xml:space="preserve">    C518</t>
  </si>
  <si>
    <t xml:space="preserve">    C218</t>
  </si>
  <si>
    <t xml:space="preserve">    C957</t>
  </si>
  <si>
    <t xml:space="preserve">    C168</t>
  </si>
  <si>
    <t xml:space="preserve">    C630</t>
  </si>
  <si>
    <t xml:space="preserve">    C837</t>
  </si>
  <si>
    <t xml:space="preserve">    C270</t>
  </si>
  <si>
    <t xml:space="preserve">    C143</t>
  </si>
  <si>
    <t xml:space="preserve">    C224</t>
  </si>
  <si>
    <t xml:space="preserve">    C441</t>
  </si>
  <si>
    <t xml:space="preserve">    C454</t>
  </si>
  <si>
    <t xml:space="preserve">    C327</t>
  </si>
  <si>
    <t xml:space="preserve">    C475</t>
  </si>
  <si>
    <t xml:space="preserve">    C219</t>
  </si>
  <si>
    <t xml:space="preserve">    C828</t>
  </si>
  <si>
    <t xml:space="preserve">    C985</t>
  </si>
  <si>
    <t xml:space="preserve">    C016</t>
  </si>
  <si>
    <t xml:space="preserve">    C743</t>
  </si>
  <si>
    <t xml:space="preserve">    C917</t>
  </si>
  <si>
    <t xml:space="preserve">    C333</t>
  </si>
  <si>
    <t xml:space="preserve">    C191</t>
  </si>
  <si>
    <t xml:space="preserve">    C894</t>
  </si>
  <si>
    <t xml:space="preserve">    C365</t>
  </si>
  <si>
    <t xml:space="preserve">    C229</t>
  </si>
  <si>
    <t xml:space="preserve">    C133</t>
  </si>
  <si>
    <t xml:space="preserve">    C424</t>
  </si>
  <si>
    <t xml:space="preserve">    C228</t>
  </si>
  <si>
    <t xml:space="preserve">      C841</t>
  </si>
  <si>
    <t xml:space="preserve">    C220</t>
  </si>
  <si>
    <t>29-07-1976</t>
  </si>
  <si>
    <t>17-08-2002</t>
  </si>
  <si>
    <t>16-01-1973</t>
  </si>
  <si>
    <t>30-08-1980</t>
  </si>
  <si>
    <t>22-06-1993</t>
  </si>
  <si>
    <t>21-09-1973</t>
  </si>
  <si>
    <t>21-08-1971</t>
  </si>
  <si>
    <t>21-03-1970</t>
  </si>
  <si>
    <t>28-06-1973</t>
  </si>
  <si>
    <t>13-08-1993</t>
  </si>
  <si>
    <t>26-04-2017</t>
  </si>
  <si>
    <t>25-06-1973</t>
  </si>
  <si>
    <t>16-01-1981</t>
  </si>
  <si>
    <t>26-04-1988</t>
  </si>
  <si>
    <t>21-03-1973</t>
  </si>
  <si>
    <t>18-04-1995</t>
  </si>
  <si>
    <t>27-10-2003</t>
  </si>
  <si>
    <t>17-12-2008</t>
  </si>
  <si>
    <t>29-07-1979</t>
  </si>
  <si>
    <t>15-12-1972</t>
  </si>
  <si>
    <t>19-08-1994</t>
  </si>
  <si>
    <t>17-03-2008</t>
  </si>
  <si>
    <t>31-01-2015</t>
  </si>
  <si>
    <t>23-07-1999</t>
  </si>
  <si>
    <t>28-08-2021</t>
  </si>
  <si>
    <t>26-06-2007</t>
  </si>
  <si>
    <t>26-03-1971</t>
  </si>
  <si>
    <t>28-07-2021</t>
  </si>
  <si>
    <t>22-10-2008</t>
  </si>
  <si>
    <t>21-09-1991</t>
  </si>
  <si>
    <t>30-12-1993</t>
  </si>
  <si>
    <t>25-10-1992</t>
  </si>
  <si>
    <t>18-07-2000</t>
  </si>
  <si>
    <t>28-06-1998</t>
  </si>
  <si>
    <t>30-05-2018</t>
  </si>
  <si>
    <t>20-11-2000</t>
  </si>
  <si>
    <t>16-02-2019</t>
  </si>
  <si>
    <t>13-04-1979</t>
  </si>
  <si>
    <t>29-12-1978</t>
  </si>
  <si>
    <t>30-06-2024</t>
  </si>
  <si>
    <t>14-05-1982</t>
  </si>
  <si>
    <t>26-04-1999</t>
  </si>
  <si>
    <t>25-09-1988</t>
  </si>
  <si>
    <t>27-08-2011</t>
  </si>
  <si>
    <t>27-02-2013</t>
  </si>
  <si>
    <t>15-03-1991</t>
  </si>
  <si>
    <t>23-11-2007</t>
  </si>
  <si>
    <t>30-06-1999</t>
  </si>
  <si>
    <t>14-03-2017</t>
  </si>
  <si>
    <t>16-12-2007</t>
  </si>
  <si>
    <t>28-10-2020</t>
  </si>
  <si>
    <t>20-06-1992</t>
  </si>
  <si>
    <t>15-01-2014</t>
  </si>
  <si>
    <t>28-05-1986</t>
  </si>
  <si>
    <t>13-09-2016</t>
  </si>
  <si>
    <t>21-04-1975</t>
  </si>
  <si>
    <t>20-06-1971</t>
  </si>
  <si>
    <t>27-04-2003</t>
  </si>
  <si>
    <t>15-01-1988</t>
  </si>
  <si>
    <t>25-02-1997</t>
  </si>
  <si>
    <t>25-12-1987</t>
  </si>
  <si>
    <t>14-09-1979</t>
  </si>
  <si>
    <t>22-02-1978</t>
  </si>
  <si>
    <t>30-11-1990</t>
  </si>
  <si>
    <t>13-02-2020</t>
  </si>
  <si>
    <t>21-03-1997</t>
  </si>
  <si>
    <t>24-08-2002</t>
  </si>
  <si>
    <t>31-01-1989</t>
  </si>
  <si>
    <t>21-10-2006</t>
  </si>
  <si>
    <t>19-02-2013</t>
  </si>
  <si>
    <t>13-12-2009</t>
  </si>
  <si>
    <t>30-09-2016</t>
  </si>
  <si>
    <t>25-09-1983</t>
  </si>
  <si>
    <t>19-09-2008</t>
  </si>
  <si>
    <t>16-11-2009</t>
  </si>
  <si>
    <t>23-05-1985</t>
  </si>
  <si>
    <t>13-01-1981</t>
  </si>
  <si>
    <t>21-06-1998</t>
  </si>
  <si>
    <t>26-05-1996</t>
  </si>
  <si>
    <t>27-06-2024</t>
  </si>
  <si>
    <t>18-08-2019</t>
  </si>
  <si>
    <t>16-03-2008</t>
  </si>
  <si>
    <t>14-08-1999</t>
  </si>
  <si>
    <t>27-11-2016</t>
  </si>
  <si>
    <t>24-02-2006</t>
  </si>
  <si>
    <t>13-10-1972</t>
  </si>
  <si>
    <t>19-04-1994</t>
  </si>
  <si>
    <t>twenty</t>
  </si>
  <si>
    <t>F</t>
  </si>
  <si>
    <t>M</t>
  </si>
  <si>
    <t>Sungle</t>
  </si>
  <si>
    <t>Location</t>
  </si>
  <si>
    <t>lagos</t>
  </si>
  <si>
    <t>spain</t>
  </si>
  <si>
    <t>south africa</t>
  </si>
  <si>
    <t>india</t>
  </si>
  <si>
    <t>James      Collins</t>
  </si>
  <si>
    <t>Charles      Collins</t>
  </si>
  <si>
    <t>Jaime      Rivera</t>
  </si>
  <si>
    <t>Ronnie      Johnson</t>
  </si>
  <si>
    <t>Roger      Strong</t>
  </si>
  <si>
    <t>Jacob      Barnes</t>
  </si>
  <si>
    <t>Jacob      Cross</t>
  </si>
  <si>
    <t>Darin      Tapia</t>
  </si>
  <si>
    <t>Denise      Duffy</t>
  </si>
  <si>
    <t>Brian      Davis</t>
  </si>
  <si>
    <t>Cheryl      Morris</t>
  </si>
  <si>
    <t>Trevor      Jackson</t>
  </si>
  <si>
    <t>Michelle      Stevens</t>
  </si>
  <si>
    <t>Sarah      Sanchez</t>
  </si>
  <si>
    <t>Sandra      Burton</t>
  </si>
  <si>
    <t>Kelly      Taylor</t>
  </si>
  <si>
    <t>Cynthia      Bailey</t>
  </si>
  <si>
    <t>Larry      Stewart</t>
  </si>
  <si>
    <t>Nicole      Armstrong</t>
  </si>
  <si>
    <t>John      Sharp</t>
  </si>
  <si>
    <t>Vanessa      Mejia</t>
  </si>
  <si>
    <t>Amy      Snow</t>
  </si>
  <si>
    <t>Tonya      Garcia</t>
  </si>
  <si>
    <t>Caleb      Peterson</t>
  </si>
  <si>
    <t>jacob      rogers</t>
  </si>
  <si>
    <t>Samantha      Miller</t>
  </si>
  <si>
    <t>Elizabeth      Wright</t>
  </si>
  <si>
    <t>Sharon      Simpson</t>
  </si>
  <si>
    <t>Laura      Olson</t>
  </si>
  <si>
    <t>Robert      Gill</t>
  </si>
  <si>
    <t>Lisa      Huff</t>
  </si>
  <si>
    <t>Carlos      Hall</t>
  </si>
  <si>
    <t>Neil      Weaver</t>
  </si>
  <si>
    <t>Brandy      Gill</t>
  </si>
  <si>
    <t>Danny      Morris</t>
  </si>
  <si>
    <t>Stephanie      Henson</t>
  </si>
  <si>
    <t>Kathleen      Marsh</t>
  </si>
  <si>
    <t>Jennifer      Myers</t>
  </si>
  <si>
    <t>Dakota      Banks</t>
  </si>
  <si>
    <t>Laurie      Washington</t>
  </si>
  <si>
    <t>barbara      johnson</t>
  </si>
  <si>
    <t>Adam      Henderson</t>
  </si>
  <si>
    <t>Keith      Pearson</t>
  </si>
  <si>
    <t>Michele      Guzman</t>
  </si>
  <si>
    <t>Debbie      Trujillo</t>
  </si>
  <si>
    <t>Hector      Bowen</t>
  </si>
  <si>
    <t>Margaret      Chapman</t>
  </si>
  <si>
    <t>aaron      gardner</t>
  </si>
  <si>
    <t>Andrew      Gaines</t>
  </si>
  <si>
    <t>John      Zimmerman</t>
  </si>
  <si>
    <t>Olivia      Hall</t>
  </si>
  <si>
    <t>Michelle      Brown</t>
  </si>
  <si>
    <t>Jacob      Mcintosh</t>
  </si>
  <si>
    <t>Veronica      Mcdaniel</t>
  </si>
  <si>
    <t>Daniel      Martin</t>
  </si>
  <si>
    <t>Stephanie      Rivera</t>
  </si>
  <si>
    <t>KIMBERLY      HERNANDEZ</t>
  </si>
  <si>
    <t>Catherine      Leblanc</t>
  </si>
  <si>
    <t>Daniel      Williams</t>
  </si>
  <si>
    <t>Brenda      Fernandez</t>
  </si>
  <si>
    <t>Jennifer      Torres</t>
  </si>
  <si>
    <t>adrian      fischer</t>
  </si>
  <si>
    <t>David      James</t>
  </si>
  <si>
    <t>Richard      Blanchard</t>
  </si>
  <si>
    <t>Amy      Cole</t>
  </si>
  <si>
    <t>Brenda      Adams</t>
  </si>
  <si>
    <t>Dominique      Gibson</t>
  </si>
  <si>
    <t>Jacob      Chen</t>
  </si>
  <si>
    <t>Rebecca      Wilson</t>
  </si>
  <si>
    <t>JEAN      BOWEN</t>
  </si>
  <si>
    <t>Krystal      Miles</t>
  </si>
  <si>
    <t>Tina      Curtis</t>
  </si>
  <si>
    <t>Adam      Hanna</t>
  </si>
  <si>
    <t>Brandy      Schwartz</t>
  </si>
  <si>
    <t>Garrett      Cook</t>
  </si>
  <si>
    <t>Jonathan      Vasquez</t>
  </si>
  <si>
    <t>Joshua      Whitaker</t>
  </si>
  <si>
    <t>Christopher      Crosby</t>
  </si>
  <si>
    <t>Joel      Hardy</t>
  </si>
  <si>
    <t>Anthony      Johnson</t>
  </si>
  <si>
    <t>Haley      Carlson</t>
  </si>
  <si>
    <t>Jennifer      Bowers</t>
  </si>
  <si>
    <t>David      Lutz</t>
  </si>
  <si>
    <t>Joshua      Moore</t>
  </si>
  <si>
    <t>CHRISTINA      COHEN</t>
  </si>
  <si>
    <t>Charles      Ryan</t>
  </si>
  <si>
    <t>Alicia      Howe</t>
  </si>
  <si>
    <t>Leslie      Spencer</t>
  </si>
  <si>
    <t>Donna      Vasquez</t>
  </si>
  <si>
    <t>Teresa      Daugherty</t>
  </si>
  <si>
    <t>Joshua      Warren</t>
  </si>
  <si>
    <t>Bethany      Hess</t>
  </si>
  <si>
    <t>Regina      Rivera</t>
  </si>
  <si>
    <t>Molly      Coleman</t>
  </si>
  <si>
    <t>carol      garcia</t>
  </si>
  <si>
    <t>Desiree      Carr</t>
  </si>
  <si>
    <t>Jeffrey      Robinson</t>
  </si>
  <si>
    <t>gloria      stevens</t>
  </si>
  <si>
    <t>Crystal      Archer</t>
  </si>
  <si>
    <t>Linda      Hodges</t>
  </si>
  <si>
    <t>Kristen      Kelley</t>
  </si>
  <si>
    <t>Frances      Short</t>
  </si>
  <si>
    <t>JEREMY      WILSON</t>
  </si>
  <si>
    <t>CONNOR      ACOSTA</t>
  </si>
  <si>
    <t>Timothy      Nicholson</t>
  </si>
  <si>
    <t>Katelyn      Mosley</t>
  </si>
  <si>
    <t>Tina      Fields</t>
  </si>
  <si>
    <t>Sydney      Sullivan</t>
  </si>
  <si>
    <t>Krystal      Hendricks</t>
  </si>
  <si>
    <t>Brian      Jones</t>
  </si>
  <si>
    <t>Michael      Salas</t>
  </si>
  <si>
    <t>KAREN      ALLEN</t>
  </si>
  <si>
    <t>Stephen      Williams</t>
  </si>
  <si>
    <t>Diane      Munoz</t>
  </si>
  <si>
    <t>Teresa      Callahan</t>
  </si>
  <si>
    <t>Christine      Green</t>
  </si>
  <si>
    <t>Kathleen      Davis</t>
  </si>
  <si>
    <t>Sarah      Forbes</t>
  </si>
  <si>
    <t>Shannon      Woodard</t>
  </si>
  <si>
    <t>Michael      Reed</t>
  </si>
  <si>
    <t>Joan      Atkins</t>
  </si>
  <si>
    <t>Jasmine      Hall</t>
  </si>
  <si>
    <t>James      Peterson</t>
  </si>
  <si>
    <t>Cassandra      Beck</t>
  </si>
  <si>
    <t>Maria      Harris</t>
  </si>
  <si>
    <t>Jeffery      Fischer</t>
  </si>
  <si>
    <t>Laura      Carter</t>
  </si>
  <si>
    <t>Hannah      Thomas</t>
  </si>
  <si>
    <t>Melissa      Barnes</t>
  </si>
  <si>
    <t>MARK      OBRIEN</t>
  </si>
  <si>
    <t>Katie      Mullins</t>
  </si>
  <si>
    <t>Teresa      Mitchell</t>
  </si>
  <si>
    <t>Paul      Gonzalez</t>
  </si>
  <si>
    <t>Justin      Stephens</t>
  </si>
  <si>
    <t>Zachary      Richards</t>
  </si>
  <si>
    <t>Shawn      Thomas</t>
  </si>
  <si>
    <t>Natalie      Bryan</t>
  </si>
  <si>
    <t>James      Brewer</t>
  </si>
  <si>
    <t>Austin      Cameron</t>
  </si>
  <si>
    <t>Jose      Finley</t>
  </si>
  <si>
    <t>Dustin      Fitzgerald</t>
  </si>
  <si>
    <t>Jeremy      Barrett</t>
  </si>
  <si>
    <t>CONNIE      GARCIA</t>
  </si>
  <si>
    <t>Michael      Jimenez</t>
  </si>
  <si>
    <t>Kristina      Clark</t>
  </si>
  <si>
    <t>Katherine      Simmons</t>
  </si>
  <si>
    <t>Cheryl      Johnson</t>
  </si>
  <si>
    <t>Vicki      Holder</t>
  </si>
  <si>
    <t>ADAM      THOMAS</t>
  </si>
  <si>
    <t>Rebecca      Thomas</t>
  </si>
  <si>
    <t>Kevin      Miller</t>
  </si>
  <si>
    <t>RYAN      ADAMS</t>
  </si>
  <si>
    <t>Keith      Taylor</t>
  </si>
  <si>
    <t>John      Griffin</t>
  </si>
  <si>
    <t>Jennifer      Marshall</t>
  </si>
  <si>
    <t>Janet      Phillips</t>
  </si>
  <si>
    <t>Charles      Gibson</t>
  </si>
  <si>
    <t>Carl      Hall</t>
  </si>
  <si>
    <t>Daniel      Grant</t>
  </si>
  <si>
    <t>Pamela      Farmer</t>
  </si>
  <si>
    <t>Nancy      Wells</t>
  </si>
  <si>
    <t>Jason      Lloyd</t>
  </si>
  <si>
    <t>Joshua      Perry</t>
  </si>
  <si>
    <t>Colleen      Chapman</t>
  </si>
  <si>
    <t>Stephen      Mcconnell</t>
  </si>
  <si>
    <t>Jay      Christensen</t>
  </si>
  <si>
    <t>Erica      Davis</t>
  </si>
  <si>
    <t>Lisa      Perry</t>
  </si>
  <si>
    <t>Richard      Brennan</t>
  </si>
  <si>
    <t>Wanda      Grant</t>
  </si>
  <si>
    <t>Julie      Valdez</t>
  </si>
  <si>
    <t>Victoria      Dudley</t>
  </si>
  <si>
    <t>Janet      Brown</t>
  </si>
  <si>
    <t>Albert      Oconnor</t>
  </si>
  <si>
    <t>Stephanie      Brown</t>
  </si>
  <si>
    <t>michael      ellis</t>
  </si>
  <si>
    <t>christine      patterson</t>
  </si>
  <si>
    <t>George      Garcia</t>
  </si>
  <si>
    <t>Joseph      Lewis</t>
  </si>
  <si>
    <t>Katie      Hutchinson</t>
  </si>
  <si>
    <t>John      Nguyen</t>
  </si>
  <si>
    <t>Austin      Simmons</t>
  </si>
  <si>
    <t>THOMAS      CURRY</t>
  </si>
  <si>
    <t>James      Solis</t>
  </si>
  <si>
    <t>Angela      Wheeler</t>
  </si>
  <si>
    <t>Lori      Davis</t>
  </si>
  <si>
    <t>Ashlee      Miller</t>
  </si>
  <si>
    <t>Robert      Martinez</t>
  </si>
  <si>
    <t>Jorge      Gomez</t>
  </si>
  <si>
    <t>Jose      Huang</t>
  </si>
  <si>
    <t>Brent      Jackson</t>
  </si>
  <si>
    <t>Bryan      Scott</t>
  </si>
  <si>
    <t>BRANDY      HILL</t>
  </si>
  <si>
    <t>KARA      POLLARD</t>
  </si>
  <si>
    <t>Michelle      Wallace</t>
  </si>
  <si>
    <t>Emma      Lynch</t>
  </si>
  <si>
    <t>Dillon      Ryan</t>
  </si>
  <si>
    <t>Robert      Moore</t>
  </si>
  <si>
    <t>Reginald      Brown</t>
  </si>
  <si>
    <t>Amanda      Nelson</t>
  </si>
  <si>
    <t>Sean      Bowen</t>
  </si>
  <si>
    <t>Laura      Carr</t>
  </si>
  <si>
    <t>Jonathan      Mack</t>
  </si>
  <si>
    <t>Patrick      Stuart</t>
  </si>
  <si>
    <t>Christina      Bernard</t>
  </si>
  <si>
    <t>Veronica      Page</t>
  </si>
  <si>
    <t>Joseph      Jones</t>
  </si>
  <si>
    <t>Matthew      Johnson</t>
  </si>
  <si>
    <t>Kimberly      Fry</t>
  </si>
  <si>
    <t>Alex      Phillips</t>
  </si>
  <si>
    <t>Joseph      Payne</t>
  </si>
  <si>
    <t>Holly      Hall</t>
  </si>
  <si>
    <t>Jill      Sherman</t>
  </si>
  <si>
    <t>Anthony      Walker</t>
  </si>
  <si>
    <t>Mary      Hammond</t>
  </si>
  <si>
    <t>Dana      Strong</t>
  </si>
  <si>
    <t>Rebecca      Howard</t>
  </si>
  <si>
    <t>Janice      Robinson</t>
  </si>
  <si>
    <t>Brittany      Frank</t>
  </si>
  <si>
    <t>Haley      Hood</t>
  </si>
  <si>
    <t>Nicholas      Wilson</t>
  </si>
  <si>
    <t>Debra      Craig</t>
  </si>
  <si>
    <t>Mario      Moore</t>
  </si>
  <si>
    <t>John      Blair</t>
  </si>
  <si>
    <t>Deborah      Miller</t>
  </si>
  <si>
    <t>Jill      Peterson</t>
  </si>
  <si>
    <t>DESIRE      LANDRY</t>
  </si>
  <si>
    <t>William      Robbins</t>
  </si>
  <si>
    <t>Melanie      Marshall</t>
  </si>
  <si>
    <t>Tara      Braun</t>
  </si>
  <si>
    <t>Valerie      Mccarty</t>
  </si>
  <si>
    <t>Chelsea      Robinson</t>
  </si>
  <si>
    <t>stanley      edwards</t>
  </si>
  <si>
    <t>Cassandra      Strong</t>
  </si>
  <si>
    <t>Patrick      Galloway</t>
  </si>
  <si>
    <t>Peter      Long</t>
  </si>
  <si>
    <t>Adam      Singleton</t>
  </si>
  <si>
    <t>Jason      Williams</t>
  </si>
  <si>
    <t>Christopher      Conner</t>
  </si>
  <si>
    <t>Melinda      Carpenter</t>
  </si>
  <si>
    <t>Marcia      Rice</t>
  </si>
  <si>
    <t>Kerri      Brown</t>
  </si>
  <si>
    <t>sarah      kennedy</t>
  </si>
  <si>
    <t>Stephanie      Jones</t>
  </si>
  <si>
    <t>Michael      III</t>
  </si>
  <si>
    <t>Christy      Ferguson</t>
  </si>
  <si>
    <t>Kenneth      Lloyd</t>
  </si>
  <si>
    <t>BRIAN      PARKER</t>
  </si>
  <si>
    <t>Jack      Welch</t>
  </si>
  <si>
    <t>Michael      Grant</t>
  </si>
  <si>
    <t>Richard      Johnson</t>
  </si>
  <si>
    <t>Tracy      Shannon</t>
  </si>
  <si>
    <t>Lynn      Martinez</t>
  </si>
  <si>
    <t>Michelle      Munoz</t>
  </si>
  <si>
    <t>Megan      Perry</t>
  </si>
  <si>
    <t>Emily      Meyer</t>
  </si>
  <si>
    <t>Keith      Parker</t>
  </si>
  <si>
    <t>Courtney      Young</t>
  </si>
  <si>
    <t>Gregory      Brock</t>
  </si>
  <si>
    <t>Katelyn      Howell</t>
  </si>
  <si>
    <t>Wanda      Lee</t>
  </si>
  <si>
    <t>Megan      Hickman</t>
  </si>
  <si>
    <t>Melissa      Tate</t>
  </si>
  <si>
    <t>Karen      Gibbs</t>
  </si>
  <si>
    <t>Susan      Porter</t>
  </si>
  <si>
    <t>Jose      Copeland</t>
  </si>
  <si>
    <t>Briana      Hall</t>
  </si>
  <si>
    <t>Eric      Taylor</t>
  </si>
  <si>
    <t>Keith      Parks</t>
  </si>
  <si>
    <t>SAMANTHA      BOYER</t>
  </si>
  <si>
    <t>Vanessa      Fuentes</t>
  </si>
  <si>
    <t>robert      thomas</t>
  </si>
  <si>
    <t>Jerry      Perry</t>
  </si>
  <si>
    <t>Jason      David</t>
  </si>
  <si>
    <t>Kristin      Sullivan</t>
  </si>
  <si>
    <t>corey      burns</t>
  </si>
  <si>
    <t>Amanda      Stewart</t>
  </si>
  <si>
    <t>jason      yang</t>
  </si>
  <si>
    <t>Charles      Werner</t>
  </si>
  <si>
    <t>Mark      White</t>
  </si>
  <si>
    <t>Nancy      Johnson</t>
  </si>
  <si>
    <t>Sandra      Burns</t>
  </si>
  <si>
    <t>John      Rodriguez</t>
  </si>
  <si>
    <t>Nathan      Bennett</t>
  </si>
  <si>
    <t>Angelica      Cohen</t>
  </si>
  <si>
    <t>Melanie      Mckinney</t>
  </si>
  <si>
    <t>Jennifer      Garcia</t>
  </si>
  <si>
    <t>Elizabeth      Rose</t>
  </si>
  <si>
    <t>Alyssa      Hill</t>
  </si>
  <si>
    <t>Rachel      Ford</t>
  </si>
  <si>
    <t>Holly      Townsend</t>
  </si>
  <si>
    <t>Andrew      Butler</t>
  </si>
  <si>
    <t>Amy      Gray</t>
  </si>
  <si>
    <t>Carla      Garrett</t>
  </si>
  <si>
    <t>Stephanie      Price</t>
  </si>
  <si>
    <t>Robert      Santos</t>
  </si>
  <si>
    <t>Tabitha      Murray</t>
  </si>
  <si>
    <t>Renee      Hernandez</t>
  </si>
  <si>
    <t>Michael      Velasquez</t>
  </si>
  <si>
    <t>Martha      Hall</t>
  </si>
  <si>
    <t>Joseph      Wright</t>
  </si>
  <si>
    <t>BEVERLY      YOUNG</t>
  </si>
  <si>
    <t>DEBBIE      RODRIGUEZ</t>
  </si>
  <si>
    <t>Eddie      Owens</t>
  </si>
  <si>
    <t>Matthew      Perez</t>
  </si>
  <si>
    <t>Ashley      Miller</t>
  </si>
  <si>
    <t>WENDY      KEMP</t>
  </si>
  <si>
    <t>Jessica      Peterson</t>
  </si>
  <si>
    <t>Carla      Grant</t>
  </si>
  <si>
    <t>Leah      Jackson</t>
  </si>
  <si>
    <t>Robert      Swanson</t>
  </si>
  <si>
    <t>Julie      Torres</t>
  </si>
  <si>
    <t>Alicia      Cole</t>
  </si>
  <si>
    <t>Frances      Wilson</t>
  </si>
  <si>
    <t>Christopher      Holden</t>
  </si>
  <si>
    <t>Tammy      Cooper</t>
  </si>
  <si>
    <t>Holly      Johnson</t>
  </si>
  <si>
    <t>Robert      Roberts</t>
  </si>
  <si>
    <t>SAMANTHA      SMITH</t>
  </si>
  <si>
    <t>Kimberly      Brown</t>
  </si>
  <si>
    <t>Alan      Mitchell</t>
  </si>
  <si>
    <t>Sandra      Ortiz</t>
  </si>
  <si>
    <t>John      Villegas</t>
  </si>
  <si>
    <t>Heather      Marks</t>
  </si>
  <si>
    <t>Richard      Anderson</t>
  </si>
  <si>
    <t>Richard      Duarte</t>
  </si>
  <si>
    <t>Brent      Johnson</t>
  </si>
  <si>
    <t>Karen      Martinez</t>
  </si>
  <si>
    <t>Brandon      Melton</t>
  </si>
  <si>
    <t>joel      rivera</t>
  </si>
  <si>
    <t>Jacqueline      Brooks</t>
  </si>
  <si>
    <t>Alexandra      Williamson</t>
  </si>
  <si>
    <t>William      King</t>
  </si>
  <si>
    <t>Kathryn      Weiss</t>
  </si>
  <si>
    <t>Tanner      Johnson</t>
  </si>
  <si>
    <t>Christopher      Johnson</t>
  </si>
  <si>
    <t>Kaitlin      Douglas</t>
  </si>
  <si>
    <t>Bryan      Stone</t>
  </si>
  <si>
    <t>Jason      Mckenzie</t>
  </si>
  <si>
    <t>Jonathan      Johnson</t>
  </si>
  <si>
    <t>Patricia      Lowe</t>
  </si>
  <si>
    <t>Scott      Barnes</t>
  </si>
  <si>
    <t>Lynn      Daniels</t>
  </si>
  <si>
    <t>Peter      Pierce</t>
  </si>
  <si>
    <t>Natalie      Hale</t>
  </si>
  <si>
    <t>Scott      Palmer</t>
  </si>
  <si>
    <t>Latoya      Barton</t>
  </si>
  <si>
    <t>Antonio      Mccall</t>
  </si>
  <si>
    <t>ROBERT      ATKINSON</t>
  </si>
  <si>
    <t>Monica      Reyes</t>
  </si>
  <si>
    <t>Steven      Wiley</t>
  </si>
  <si>
    <t>Caitlyn      Maxwell</t>
  </si>
  <si>
    <t>Ashley      Mcgee</t>
  </si>
  <si>
    <t>Nicholas      Donaldson</t>
  </si>
  <si>
    <t>Patricia      Shelton</t>
  </si>
  <si>
    <t>Crystal      Frank</t>
  </si>
  <si>
    <t>Marilyn      Rodriguez</t>
  </si>
  <si>
    <t>Mary      Harris</t>
  </si>
  <si>
    <t>Shelley      Cook</t>
  </si>
  <si>
    <t>Luke      Larsen</t>
  </si>
  <si>
    <t>Megan      Chang</t>
  </si>
  <si>
    <t>Colleen      Hall</t>
  </si>
  <si>
    <t>Mary      Davis</t>
  </si>
  <si>
    <t>Erica      Hall</t>
  </si>
  <si>
    <t>Tracy      Reeves</t>
  </si>
  <si>
    <t>Cheryl      Wade</t>
  </si>
  <si>
    <t>shelly      morrison</t>
  </si>
  <si>
    <t>Christopher      Oconnell</t>
  </si>
  <si>
    <t>Nicholas      Massey</t>
  </si>
  <si>
    <t>Tammy      Martin</t>
  </si>
  <si>
    <t>Chad      Jones</t>
  </si>
  <si>
    <t>cassandra      bennett</t>
  </si>
  <si>
    <t>Kyle      Wallace</t>
  </si>
  <si>
    <t>Mark      Burnett</t>
  </si>
  <si>
    <t>Karina      Graves</t>
  </si>
  <si>
    <t>Patricia      Walker</t>
  </si>
  <si>
    <t>Travis      Hall</t>
  </si>
  <si>
    <t>THOMAS      GRAY</t>
  </si>
  <si>
    <t>Thomas      Taylor</t>
  </si>
  <si>
    <t>Daniel      Adams</t>
  </si>
  <si>
    <t>Keith      Matthews</t>
  </si>
  <si>
    <t>Derrick      Johnson</t>
  </si>
  <si>
    <t>Matthew      Mcbride</t>
  </si>
  <si>
    <t>Timothy      Paul</t>
  </si>
  <si>
    <t>TIMOTHY      WHITE</t>
  </si>
  <si>
    <t>JASON      HARRINGTON</t>
  </si>
  <si>
    <t>Carol      Garrett</t>
  </si>
  <si>
    <t>Cindy      Cook</t>
  </si>
  <si>
    <t>John      Hill</t>
  </si>
  <si>
    <t>Francisco      Randall</t>
  </si>
  <si>
    <t>Tyler      Hall</t>
  </si>
  <si>
    <t>Shannon      Fischer</t>
  </si>
  <si>
    <t>Crystal      Martinez</t>
  </si>
  <si>
    <t>Jennifer      Adams</t>
  </si>
  <si>
    <t>Erin      Smith</t>
  </si>
  <si>
    <t>Kelly      Lewis</t>
  </si>
  <si>
    <t>Jennifer      Kennedy</t>
  </si>
  <si>
    <t>Todd      Mcintyre</t>
  </si>
  <si>
    <t>Michael      Jones</t>
  </si>
  <si>
    <t>Adam      Robinson</t>
  </si>
  <si>
    <t>Sheila      Mclean</t>
  </si>
  <si>
    <t>Kayla      Herrera</t>
  </si>
  <si>
    <t>Alicia      Roth</t>
  </si>
  <si>
    <t>rachel      adams</t>
  </si>
  <si>
    <t>Nancy      Roach</t>
  </si>
  <si>
    <t>Michael      Jackson</t>
  </si>
  <si>
    <t>Jerry      Hughes</t>
  </si>
  <si>
    <t>aaron      garrison</t>
  </si>
  <si>
    <t>James      Mueller</t>
  </si>
  <si>
    <t>Kimberly      Schultz</t>
  </si>
  <si>
    <t>Thomas      Sloan</t>
  </si>
  <si>
    <t>David      Davis</t>
  </si>
  <si>
    <t>Ruth      Vang</t>
  </si>
  <si>
    <t>Taylor      Anderson</t>
  </si>
  <si>
    <t>sarah      ryan</t>
  </si>
  <si>
    <t>William      Johnson</t>
  </si>
  <si>
    <t>Brandon      Sanders</t>
  </si>
  <si>
    <t>NICOLE      OLSON</t>
  </si>
  <si>
    <t>Johnny      Green</t>
  </si>
  <si>
    <t>Melissa      Mitchell</t>
  </si>
  <si>
    <t>DESIREE      LANDRY</t>
  </si>
  <si>
    <t>Adam      Long</t>
  </si>
  <si>
    <t>Bryan      Harrell</t>
  </si>
  <si>
    <t>James      Wood</t>
  </si>
  <si>
    <t>Robin      Fernandez</t>
  </si>
  <si>
    <t>Andrew      Oneill</t>
  </si>
  <si>
    <t xml:space="preserve">   orge sullivan   </t>
  </si>
  <si>
    <t xml:space="preserve">   Jennifer Silva   </t>
  </si>
  <si>
    <t xml:space="preserve">   Jennifer Brown   </t>
  </si>
  <si>
    <t xml:space="preserve">   Katie Mays   </t>
  </si>
  <si>
    <t xml:space="preserve">   Jill Hudson   </t>
  </si>
  <si>
    <t xml:space="preserve">   Victor Brown   </t>
  </si>
  <si>
    <t xml:space="preserve">   James Graham   </t>
  </si>
  <si>
    <t xml:space="preserve">   Danielle Mckinney   </t>
  </si>
  <si>
    <t xml:space="preserve">   Lisa Jimenez   </t>
  </si>
  <si>
    <t xml:space="preserve">   Megan Brown   </t>
  </si>
  <si>
    <t xml:space="preserve">   Glen Bell   </t>
  </si>
  <si>
    <t xml:space="preserve">   Melissa Flynn   </t>
  </si>
  <si>
    <t xml:space="preserve">   SCOTT BEARD   </t>
  </si>
  <si>
    <t xml:space="preserve">   Brian Andrade   </t>
  </si>
  <si>
    <t>cust</t>
  </si>
  <si>
    <t>marital stat</t>
  </si>
  <si>
    <t>Amt</t>
  </si>
  <si>
    <t>Pur Date</t>
  </si>
  <si>
    <t>Customer</t>
  </si>
  <si>
    <t>Marital Status</t>
  </si>
  <si>
    <t>Purchase Date</t>
  </si>
  <si>
    <t>Amount</t>
  </si>
  <si>
    <t>C712</t>
  </si>
  <si>
    <t>C710</t>
  </si>
  <si>
    <t>C660</t>
  </si>
  <si>
    <t>C256</t>
  </si>
  <si>
    <t>C877</t>
  </si>
  <si>
    <t>C101</t>
  </si>
  <si>
    <t>C617</t>
  </si>
  <si>
    <t>C018</t>
  </si>
  <si>
    <t>C920</t>
  </si>
  <si>
    <t>C422</t>
  </si>
  <si>
    <t>C586</t>
  </si>
  <si>
    <t>C927</t>
  </si>
  <si>
    <t>C704</t>
  </si>
  <si>
    <t>C081</t>
  </si>
  <si>
    <t>C868</t>
  </si>
  <si>
    <t>C565</t>
  </si>
  <si>
    <t>C952</t>
  </si>
  <si>
    <t>C528</t>
  </si>
  <si>
    <t>C859</t>
  </si>
  <si>
    <t>C464</t>
  </si>
  <si>
    <t>C658</t>
  </si>
  <si>
    <t>C164</t>
  </si>
  <si>
    <t>C141</t>
  </si>
  <si>
    <t>C829</t>
  </si>
  <si>
    <t>C373</t>
  </si>
  <si>
    <t>C679</t>
  </si>
  <si>
    <t>C292</t>
  </si>
  <si>
    <t>C754</t>
  </si>
  <si>
    <t>C668</t>
  </si>
  <si>
    <t>C267</t>
  </si>
  <si>
    <t>C240</t>
  </si>
  <si>
    <t>C516</t>
  </si>
  <si>
    <t>C251</t>
  </si>
  <si>
    <t>C061</t>
  </si>
  <si>
    <t>C067</t>
  </si>
  <si>
    <t>C645</t>
  </si>
  <si>
    <t>C799</t>
  </si>
  <si>
    <t>C623</t>
  </si>
  <si>
    <t>C306</t>
  </si>
  <si>
    <t>C213</t>
  </si>
  <si>
    <t>C031</t>
  </si>
  <si>
    <t>C994</t>
  </si>
  <si>
    <t>C834</t>
  </si>
  <si>
    <t>C066</t>
  </si>
  <si>
    <t>C039</t>
  </si>
  <si>
    <t>C299</t>
  </si>
  <si>
    <t>C811</t>
  </si>
  <si>
    <t>C622</t>
  </si>
  <si>
    <t>C161</t>
  </si>
  <si>
    <t>C711</t>
  </si>
  <si>
    <t>C321</t>
  </si>
  <si>
    <t>C110</t>
  </si>
  <si>
    <t>C442</t>
  </si>
  <si>
    <t>C703</t>
  </si>
  <si>
    <t>C506</t>
  </si>
  <si>
    <t>C123</t>
  </si>
  <si>
    <t>C484</t>
  </si>
  <si>
    <t>C107</t>
  </si>
  <si>
    <t>C032</t>
  </si>
  <si>
    <t>C188</t>
  </si>
  <si>
    <t>C409</t>
  </si>
  <si>
    <t>C732</t>
  </si>
  <si>
    <t>C938</t>
  </si>
  <si>
    <t>C738</t>
  </si>
  <si>
    <t>C497</t>
  </si>
  <si>
    <t>C676</t>
  </si>
  <si>
    <t>C300</t>
  </si>
  <si>
    <t>C793</t>
  </si>
  <si>
    <t>C646</t>
  </si>
  <si>
    <t>C150</t>
  </si>
  <si>
    <t>C761</t>
  </si>
  <si>
    <t>C410</t>
  </si>
  <si>
    <t>C364</t>
  </si>
  <si>
    <t>C709</t>
  </si>
  <si>
    <t>C241</t>
  </si>
  <si>
    <t>C181</t>
  </si>
  <si>
    <t>C908</t>
  </si>
  <si>
    <t>C041</t>
  </si>
  <si>
    <t>C486</t>
  </si>
  <si>
    <t>C194</t>
  </si>
  <si>
    <t>C965</t>
  </si>
  <si>
    <t>C505</t>
  </si>
  <si>
    <t>C671</t>
  </si>
  <si>
    <t>C677</t>
  </si>
  <si>
    <t>C479</t>
  </si>
  <si>
    <t>C760</t>
  </si>
  <si>
    <t>C608</t>
  </si>
  <si>
    <t>C852</t>
  </si>
  <si>
    <t>C913</t>
  </si>
  <si>
    <t>C583</t>
  </si>
  <si>
    <t>C317</t>
  </si>
  <si>
    <t>C272</t>
  </si>
  <si>
    <t>C462</t>
  </si>
  <si>
    <t>C665</t>
  </si>
  <si>
    <t>C928</t>
  </si>
  <si>
    <t>C280</t>
  </si>
  <si>
    <t>C338</t>
  </si>
  <si>
    <t>C421</t>
  </si>
  <si>
    <t>C215</t>
  </si>
  <si>
    <t>C750</t>
  </si>
  <si>
    <t>C104</t>
  </si>
  <si>
    <t>C805</t>
  </si>
  <si>
    <t>C574</t>
  </si>
  <si>
    <t>C305</t>
  </si>
  <si>
    <t>C087</t>
  </si>
  <si>
    <t>C072</t>
  </si>
  <si>
    <t>C116</t>
  </si>
  <si>
    <t>C637</t>
  </si>
  <si>
    <t>C924</t>
  </si>
  <si>
    <t>C172</t>
  </si>
  <si>
    <t>C048</t>
  </si>
  <si>
    <t>C526</t>
  </si>
  <si>
    <t>C056</t>
  </si>
  <si>
    <t>C902</t>
  </si>
  <si>
    <t>C562</t>
  </si>
  <si>
    <t>C674</t>
  </si>
  <si>
    <t>C533</t>
  </si>
  <si>
    <t>C390</t>
  </si>
  <si>
    <t>C649</t>
  </si>
  <si>
    <t>C858</t>
  </si>
  <si>
    <t>C051</t>
  </si>
  <si>
    <t>C214</t>
  </si>
  <si>
    <t>C798</t>
  </si>
  <si>
    <t>C380</t>
  </si>
  <si>
    <t>C977</t>
  </si>
  <si>
    <t>C832</t>
  </si>
  <si>
    <t>C778</t>
  </si>
  <si>
    <t>C997</t>
  </si>
  <si>
    <t>C095</t>
  </si>
  <si>
    <t>C814</t>
  </si>
  <si>
    <t>C507</t>
  </si>
  <si>
    <t>C936</t>
  </si>
  <si>
    <t>C535</t>
  </si>
  <si>
    <t>C879</t>
  </si>
  <si>
    <t>C552</t>
  </si>
  <si>
    <t>C940</t>
  </si>
  <si>
    <t>C463</t>
  </si>
  <si>
    <t>C804</t>
  </si>
  <si>
    <t>C744</t>
  </si>
  <si>
    <t>C336</t>
  </si>
  <si>
    <t>C262</t>
  </si>
  <si>
    <t>C807</t>
  </si>
  <si>
    <t>C459</t>
  </si>
  <si>
    <t>C984</t>
  </si>
  <si>
    <t>C074</t>
  </si>
  <si>
    <t>C846</t>
  </si>
  <si>
    <t>C986</t>
  </si>
  <si>
    <t>C742</t>
  </si>
  <si>
    <t>C725</t>
  </si>
  <si>
    <t>C650</t>
  </si>
  <si>
    <t>C699</t>
  </si>
  <si>
    <t>C151</t>
  </si>
  <si>
    <t>C040</t>
  </si>
  <si>
    <t>C571</t>
  </si>
  <si>
    <t>C455</t>
  </si>
  <si>
    <t>C964</t>
  </si>
  <si>
    <t>C981</t>
  </si>
  <si>
    <t>C379</t>
  </si>
  <si>
    <t>C063</t>
  </si>
  <si>
    <t>C355</t>
  </si>
  <si>
    <t>C714</t>
  </si>
  <si>
    <t>C891</t>
  </si>
  <si>
    <t>C035</t>
  </si>
  <si>
    <t>C057</t>
  </si>
  <si>
    <t>C093</t>
  </si>
  <si>
    <t>C252</t>
  </si>
  <si>
    <t>C615</t>
  </si>
  <si>
    <t>C268</t>
  </si>
  <si>
    <t>C897</t>
  </si>
  <si>
    <t>C376</t>
  </si>
  <si>
    <t>C980</t>
  </si>
  <si>
    <t>C298</t>
  </si>
  <si>
    <t>C126</t>
  </si>
  <si>
    <t>C166</t>
  </si>
  <si>
    <t>C426</t>
  </si>
  <si>
    <t>C157</t>
  </si>
  <si>
    <t>C720</t>
  </si>
  <si>
    <t>C481</t>
  </si>
  <si>
    <t>C764</t>
  </si>
  <si>
    <t>C337</t>
  </si>
  <si>
    <t>C458</t>
  </si>
  <si>
    <t>C553</t>
  </si>
  <si>
    <t>C862</t>
  </si>
  <si>
    <t>C998</t>
  </si>
  <si>
    <t>C644</t>
  </si>
  <si>
    <t>C322</t>
  </si>
  <si>
    <t>C312</t>
  </si>
  <si>
    <t>C145</t>
  </si>
  <si>
    <t>C509</t>
  </si>
  <si>
    <t>C890</t>
  </si>
  <si>
    <t>C352</t>
  </si>
  <si>
    <t>C494</t>
  </si>
  <si>
    <t>C763</t>
  </si>
  <si>
    <t>C568</t>
  </si>
  <si>
    <t>C498</t>
  </si>
  <si>
    <t>C648</t>
  </si>
  <si>
    <t>C653</t>
  </si>
  <si>
    <t>C013</t>
  </si>
  <si>
    <t>C386</t>
  </si>
  <si>
    <t>C730</t>
  </si>
  <si>
    <t>C178</t>
  </si>
  <si>
    <t>C614</t>
  </si>
  <si>
    <t>C861</t>
  </si>
  <si>
    <t>C367</t>
  </si>
  <si>
    <t>C635</t>
  </si>
  <si>
    <t>C745</t>
  </si>
  <si>
    <t>C843</t>
  </si>
  <si>
    <t>C071</t>
  </si>
  <si>
    <t>C886</t>
  </si>
  <si>
    <t>C691</t>
  </si>
  <si>
    <t>C303</t>
  </si>
  <si>
    <t>C183</t>
  </si>
  <si>
    <t>C273</t>
  </si>
  <si>
    <t>C132</t>
  </si>
  <si>
    <t>C129</t>
  </si>
  <si>
    <t>C029</t>
  </si>
  <si>
    <t>C466</t>
  </si>
  <si>
    <t>C159</t>
  </si>
  <si>
    <t>C860</t>
  </si>
  <si>
    <t>C591</t>
  </si>
  <si>
    <t>C734</t>
  </si>
  <si>
    <t>C209</t>
  </si>
  <si>
    <t>C197</t>
  </si>
  <si>
    <t>C090</t>
  </si>
  <si>
    <t>C330</t>
  </si>
  <si>
    <t>C482</t>
  </si>
  <si>
    <t>C468</t>
  </si>
  <si>
    <t>C176</t>
  </si>
  <si>
    <t>C431</t>
  </si>
  <si>
    <t>C404</t>
  </si>
  <si>
    <t>C070</t>
  </si>
  <si>
    <t>C206</t>
  </si>
  <si>
    <t>C480</t>
  </si>
  <si>
    <t>C824</t>
  </si>
  <si>
    <t>C248</t>
  </si>
  <si>
    <t>C149</t>
  </si>
  <si>
    <t>C578</t>
  </si>
  <si>
    <t>C469</t>
  </si>
  <si>
    <t>C304</t>
  </si>
  <si>
    <t>C740</t>
  </si>
  <si>
    <t>C739</t>
  </si>
  <si>
    <t>C546</t>
  </si>
  <si>
    <t>C500</t>
  </si>
  <si>
    <t>C802</t>
  </si>
  <si>
    <t>C830</t>
  </si>
  <si>
    <t>C901</t>
  </si>
  <si>
    <t>C375</t>
  </si>
  <si>
    <t>C757</t>
  </si>
  <si>
    <t>C539</t>
  </si>
  <si>
    <t>C774</t>
  </si>
  <si>
    <t>C271</t>
  </si>
  <si>
    <t>C513</t>
  </si>
  <si>
    <t>C953</t>
  </si>
  <si>
    <t>C925</t>
  </si>
  <si>
    <t>C440</t>
  </si>
  <si>
    <t>C756</t>
  </si>
  <si>
    <t>C403</t>
  </si>
  <si>
    <t>C963</t>
  </si>
  <si>
    <t>C131</t>
  </si>
  <si>
    <t>C706</t>
  </si>
  <si>
    <t>C856</t>
  </si>
  <si>
    <t>C415</t>
  </si>
  <si>
    <t>C849</t>
  </si>
  <si>
    <t>C329</t>
  </si>
  <si>
    <t>C695</t>
  </si>
  <si>
    <t>C381</t>
  </si>
  <si>
    <t>C982</t>
  </si>
  <si>
    <t>C640</t>
  </si>
  <si>
    <t>C332</t>
  </si>
  <si>
    <t>C389</t>
  </si>
  <si>
    <t>C826</t>
  </si>
  <si>
    <t>C512</t>
  </si>
  <si>
    <t>C949</t>
  </si>
  <si>
    <t>C716</t>
  </si>
  <si>
    <t>C200</t>
  </si>
  <si>
    <t>C697</t>
  </si>
  <si>
    <t>C626</t>
  </si>
  <si>
    <t>C225</t>
  </si>
  <si>
    <t>C530</t>
  </si>
  <si>
    <t>C663</t>
  </si>
  <si>
    <t>C400</t>
  </si>
  <si>
    <t>C978</t>
  </si>
  <si>
    <t>C781</t>
  </si>
  <si>
    <t>C134</t>
  </si>
  <si>
    <t>C666</t>
  </si>
  <si>
    <t>C385</t>
  </si>
  <si>
    <t>C340</t>
  </si>
  <si>
    <t>C477</t>
  </si>
  <si>
    <t>C672</t>
  </si>
  <si>
    <t>C405</t>
  </si>
  <si>
    <t>C870</t>
  </si>
  <si>
    <t>C488</t>
  </si>
  <si>
    <t>C822</t>
  </si>
  <si>
    <t>C196</t>
  </si>
  <si>
    <t>C896</t>
  </si>
  <si>
    <t>C471</t>
  </si>
  <si>
    <t>C864</t>
  </si>
  <si>
    <t>C163</t>
  </si>
  <si>
    <t>C396</t>
  </si>
  <si>
    <t>C260</t>
  </si>
  <si>
    <t>C619</t>
  </si>
  <si>
    <t>C043</t>
  </si>
  <si>
    <t>C139</t>
  </si>
  <si>
    <t>C388</t>
  </si>
  <si>
    <t>C545</t>
  </si>
  <si>
    <t>C721</t>
  </si>
  <si>
    <t>C995</t>
  </si>
  <si>
    <t>C394</t>
  </si>
  <si>
    <t>C597</t>
  </si>
  <si>
    <t>C930</t>
  </si>
  <si>
    <t>C113</t>
  </si>
  <si>
    <t>C572</t>
  </si>
  <si>
    <t>C142</t>
  </si>
  <si>
    <t>C098</t>
  </si>
  <si>
    <t>C495</t>
  </si>
  <si>
    <t>C683</t>
  </si>
  <si>
    <t>C520</t>
  </si>
  <si>
    <t>C258</t>
  </si>
  <si>
    <t>C604</t>
  </si>
  <si>
    <t>C320</t>
  </si>
  <si>
    <t>C055</t>
  </si>
  <si>
    <t>C144</t>
  </si>
  <si>
    <t>C345</t>
  </si>
  <si>
    <t>C438</t>
  </si>
  <si>
    <t>C948</t>
  </si>
  <si>
    <t>C983</t>
  </si>
  <si>
    <t>C058</t>
  </si>
  <si>
    <t>C182</t>
  </si>
  <si>
    <t>C485</t>
  </si>
  <si>
    <t>C083</t>
  </si>
  <si>
    <t>C175</t>
  </si>
  <si>
    <t>C448</t>
  </si>
  <si>
    <t>C728</t>
  </si>
  <si>
    <t>C598</t>
  </si>
  <si>
    <t>C907</t>
  </si>
  <si>
    <t>C759</t>
  </si>
  <si>
    <t>C698</t>
  </si>
  <si>
    <t>C831</t>
  </si>
  <si>
    <t>C202</t>
  </si>
  <si>
    <t>C457</t>
  </si>
  <si>
    <t>C282</t>
  </si>
  <si>
    <t>C723</t>
  </si>
  <si>
    <t>C199</t>
  </si>
  <si>
    <t>C951</t>
  </si>
  <si>
    <t>C594</t>
  </si>
  <si>
    <t>C590</t>
  </si>
  <si>
    <t>C372</t>
  </si>
  <si>
    <t>C693</t>
  </si>
  <si>
    <t>C966</t>
  </si>
  <si>
    <t>C731</t>
  </si>
  <si>
    <t>C593</t>
  </si>
  <si>
    <t>C724</t>
  </si>
  <si>
    <t>C770</t>
  </si>
  <si>
    <t>C511</t>
  </si>
  <si>
    <t>C004</t>
  </si>
  <si>
    <t>C360</t>
  </si>
  <si>
    <t>C813</t>
  </si>
  <si>
    <t>C436</t>
  </si>
  <si>
    <t>C905</t>
  </si>
  <si>
    <t>C239</t>
  </si>
  <si>
    <t>C943</t>
  </si>
  <si>
    <t>C257</t>
  </si>
  <si>
    <t>C044</t>
  </si>
  <si>
    <t>C776</t>
  </si>
  <si>
    <t>C012</t>
  </si>
  <si>
    <t>C075</t>
  </si>
  <si>
    <t>C967</t>
  </si>
  <si>
    <t>C165</t>
  </si>
  <si>
    <t>C103</t>
  </si>
  <si>
    <t>C259</t>
  </si>
  <si>
    <t>C517</t>
  </si>
  <si>
    <t>C359</t>
  </si>
  <si>
    <t>C315</t>
  </si>
  <si>
    <t>C291</t>
  </si>
  <si>
    <t>C253</t>
  </si>
  <si>
    <t>C685</t>
  </si>
  <si>
    <t>C371</t>
  </si>
  <si>
    <t>C606</t>
  </si>
  <si>
    <t>C189</t>
  </si>
  <si>
    <t>C478</t>
  </si>
  <si>
    <t>C840</t>
  </si>
  <si>
    <t>C899</t>
  </si>
  <si>
    <t>C692</t>
  </si>
  <si>
    <t>C263</t>
  </si>
  <si>
    <t>C201</t>
  </si>
  <si>
    <t>C812</t>
  </si>
  <si>
    <t>C543</t>
  </si>
  <si>
    <t>C496</t>
  </si>
  <si>
    <t>C857</t>
  </si>
  <si>
    <t>C838</t>
  </si>
  <si>
    <t>C795</t>
  </si>
  <si>
    <t>C603</t>
  </si>
  <si>
    <t>C550</t>
  </si>
  <si>
    <t>C009</t>
  </si>
  <si>
    <t>C634</t>
  </si>
  <si>
    <t>C667</t>
  </si>
  <si>
    <t>C060</t>
  </si>
  <si>
    <t>C765</t>
  </si>
  <si>
    <t>C839</t>
  </si>
  <si>
    <t>C885</t>
  </si>
  <si>
    <t>C844</t>
  </si>
  <si>
    <t>C086</t>
  </si>
  <si>
    <t>C609</t>
  </si>
  <si>
    <t>C684</t>
  </si>
  <si>
    <t>C450</t>
  </si>
  <si>
    <t>C106</t>
  </si>
  <si>
    <t>C751</t>
  </si>
  <si>
    <t>C818</t>
  </si>
  <si>
    <t>C289</t>
  </si>
  <si>
    <t>C417</t>
  </si>
  <si>
    <t>C851</t>
  </si>
  <si>
    <t>C015</t>
  </si>
  <si>
    <t>C534</t>
  </si>
  <si>
    <t>C042</t>
  </si>
  <si>
    <t>C976</t>
  </si>
  <si>
    <t>C446</t>
  </si>
  <si>
    <t>C062</t>
  </si>
  <si>
    <t>C030</t>
  </si>
  <si>
    <t>C729</t>
  </si>
  <si>
    <t>C642</t>
  </si>
  <si>
    <t>C173</t>
  </si>
  <si>
    <t>C950</t>
  </si>
  <si>
    <t>C378</t>
  </si>
  <si>
    <t>C518</t>
  </si>
  <si>
    <t>C218</t>
  </si>
  <si>
    <t>C957</t>
  </si>
  <si>
    <t>C168</t>
  </si>
  <si>
    <t>C630</t>
  </si>
  <si>
    <t>C837</t>
  </si>
  <si>
    <t>C270</t>
  </si>
  <si>
    <t>C143</t>
  </si>
  <si>
    <t>C224</t>
  </si>
  <si>
    <t>C441</t>
  </si>
  <si>
    <t>C454</t>
  </si>
  <si>
    <t>C327</t>
  </si>
  <si>
    <t>C475</t>
  </si>
  <si>
    <t>C219</t>
  </si>
  <si>
    <t>C828</t>
  </si>
  <si>
    <t>C985</t>
  </si>
  <si>
    <t>C016</t>
  </si>
  <si>
    <t>C743</t>
  </si>
  <si>
    <t>C917</t>
  </si>
  <si>
    <t>C333</t>
  </si>
  <si>
    <t>C191</t>
  </si>
  <si>
    <t>C894</t>
  </si>
  <si>
    <t>C365</t>
  </si>
  <si>
    <t>C229</t>
  </si>
  <si>
    <t>C133</t>
  </si>
  <si>
    <t>C424</t>
  </si>
  <si>
    <t>C228</t>
  </si>
  <si>
    <t>C841</t>
  </si>
  <si>
    <t>C220</t>
  </si>
  <si>
    <t>Michelle Carter</t>
  </si>
  <si>
    <t>Orge Sullivan</t>
  </si>
  <si>
    <t>Jennifer Silva</t>
  </si>
  <si>
    <t>Debbie Trujillo</t>
  </si>
  <si>
    <t>Hector Bowen</t>
  </si>
  <si>
    <t>Margaret Chapman</t>
  </si>
  <si>
    <t>Aaron Gardner</t>
  </si>
  <si>
    <t>Jennifer Brown</t>
  </si>
  <si>
    <t>Katie Mays</t>
  </si>
  <si>
    <t>Jill Hudson</t>
  </si>
  <si>
    <t>Victor Brown</t>
  </si>
  <si>
    <t>James Graham</t>
  </si>
  <si>
    <t>Danielle Mckinney</t>
  </si>
  <si>
    <t>Robert Atkinson</t>
  </si>
  <si>
    <t>Monica Reyes</t>
  </si>
  <si>
    <t>Steven Wiley</t>
  </si>
  <si>
    <t>Caitlyn Maxwell</t>
  </si>
  <si>
    <t>Ashley Mcgee</t>
  </si>
  <si>
    <t>Lisa Jimenez</t>
  </si>
  <si>
    <t>Megan Brown</t>
  </si>
  <si>
    <t>Glen Bell</t>
  </si>
  <si>
    <t>Melissa Flynn</t>
  </si>
  <si>
    <t>Scott Beard</t>
  </si>
  <si>
    <t>Brian Andrade</t>
  </si>
  <si>
    <t>Joshua Oconnor</t>
  </si>
  <si>
    <t>Jeremiah Munoz</t>
  </si>
  <si>
    <t>James Collins</t>
  </si>
  <si>
    <t>Charles Collins</t>
  </si>
  <si>
    <t>Jaime Rivera</t>
  </si>
  <si>
    <t>Ronnie Johnson</t>
  </si>
  <si>
    <t>Roger Strong</t>
  </si>
  <si>
    <t>Jacob Barnes</t>
  </si>
  <si>
    <t>Jacob Cross</t>
  </si>
  <si>
    <t>Darin Tapia</t>
  </si>
  <si>
    <t>Denise Duffy</t>
  </si>
  <si>
    <t>Brian Davis</t>
  </si>
  <si>
    <t>Cheryl Morris</t>
  </si>
  <si>
    <t>Trevor Jackson</t>
  </si>
  <si>
    <t>Michelle Stevens</t>
  </si>
  <si>
    <t>Sarah Sanchez</t>
  </si>
  <si>
    <t>Sandra Burton</t>
  </si>
  <si>
    <t>Kelly Taylor</t>
  </si>
  <si>
    <t>Cynthia Bailey</t>
  </si>
  <si>
    <t>Larry Stewart</t>
  </si>
  <si>
    <t>Nicole Armstrong</t>
  </si>
  <si>
    <t>John Sharp</t>
  </si>
  <si>
    <t>Vanessa Mejia</t>
  </si>
  <si>
    <t>Amy Snow</t>
  </si>
  <si>
    <t>Tonya Garcia</t>
  </si>
  <si>
    <t>Caleb Peterson</t>
  </si>
  <si>
    <t>Jacob Rogers</t>
  </si>
  <si>
    <t>Samantha Miller</t>
  </si>
  <si>
    <t>Elizabeth Wright</t>
  </si>
  <si>
    <t>Sharon Simpson</t>
  </si>
  <si>
    <t>Laura Olson</t>
  </si>
  <si>
    <t>Robert Gill</t>
  </si>
  <si>
    <t>Lisa Huff</t>
  </si>
  <si>
    <t>Carlos Hall</t>
  </si>
  <si>
    <t>Neil Weaver</t>
  </si>
  <si>
    <t>Brandy Gill</t>
  </si>
  <si>
    <t>Danny Morris</t>
  </si>
  <si>
    <t>Stephanie Henson</t>
  </si>
  <si>
    <t>Kathleen Marsh</t>
  </si>
  <si>
    <t>Jennifer Myers</t>
  </si>
  <si>
    <t>Dakota Banks</t>
  </si>
  <si>
    <t>Laurie Washington</t>
  </si>
  <si>
    <t>Barbara Johnson</t>
  </si>
  <si>
    <t>Adam Henderson</t>
  </si>
  <si>
    <t>Keith Pearson</t>
  </si>
  <si>
    <t>Michele Guzman</t>
  </si>
  <si>
    <t>Andrew Gaines</t>
  </si>
  <si>
    <t>John Zimmerman</t>
  </si>
  <si>
    <t>Olivia Hall</t>
  </si>
  <si>
    <t>Michelle Brown</t>
  </si>
  <si>
    <t>Jacob Mcintosh</t>
  </si>
  <si>
    <t>Veronica Mcdaniel</t>
  </si>
  <si>
    <t>Daniel Martin</t>
  </si>
  <si>
    <t>Stephanie Rivera</t>
  </si>
  <si>
    <t>Kimberly Hernandez</t>
  </si>
  <si>
    <t>Catherine Leblanc</t>
  </si>
  <si>
    <t>Daniel Williams</t>
  </si>
  <si>
    <t>Brenda Fernandez</t>
  </si>
  <si>
    <t>Jennifer Torres</t>
  </si>
  <si>
    <t>Adrian Fischer</t>
  </si>
  <si>
    <t>David James</t>
  </si>
  <si>
    <t>Richard Blanchard</t>
  </si>
  <si>
    <t>Amy Cole</t>
  </si>
  <si>
    <t>Brenda Adams</t>
  </si>
  <si>
    <t>Dominique Gibson</t>
  </si>
  <si>
    <t>Jacob Chen</t>
  </si>
  <si>
    <t>Rebecca Wilson</t>
  </si>
  <si>
    <t>Jean Bowen</t>
  </si>
  <si>
    <t>Krystal Miles</t>
  </si>
  <si>
    <t>Tina Curtis</t>
  </si>
  <si>
    <t>Adam Hanna</t>
  </si>
  <si>
    <t>Brandy Schwartz</t>
  </si>
  <si>
    <t>Garrett Cook</t>
  </si>
  <si>
    <t>Jonathan Vasquez</t>
  </si>
  <si>
    <t>Joshua Whitaker</t>
  </si>
  <si>
    <t>Christopher Crosby</t>
  </si>
  <si>
    <t>Joel Hardy</t>
  </si>
  <si>
    <t>Anthony Johnson</t>
  </si>
  <si>
    <t>Haley Carlson</t>
  </si>
  <si>
    <t>Jennifer Bowers</t>
  </si>
  <si>
    <t>David Lutz</t>
  </si>
  <si>
    <t>Joshua Moore</t>
  </si>
  <si>
    <t>Christina Cohen</t>
  </si>
  <si>
    <t>Charles Ryan</t>
  </si>
  <si>
    <t>Alicia Howe</t>
  </si>
  <si>
    <t>Leslie Spencer</t>
  </si>
  <si>
    <t>Donna Vasquez</t>
  </si>
  <si>
    <t>Teresa Daugherty</t>
  </si>
  <si>
    <t>Joshua Warren</t>
  </si>
  <si>
    <t>Bethany Hess</t>
  </si>
  <si>
    <t>Regina Rivera</t>
  </si>
  <si>
    <t>Molly Coleman</t>
  </si>
  <si>
    <t>Carol Garcia</t>
  </si>
  <si>
    <t>Desiree Carr</t>
  </si>
  <si>
    <t>Jeffrey Robinson</t>
  </si>
  <si>
    <t>Gloria Stevens</t>
  </si>
  <si>
    <t>Crystal Archer</t>
  </si>
  <si>
    <t>Linda Hodges</t>
  </si>
  <si>
    <t>Kristen Kelley</t>
  </si>
  <si>
    <t>Frances Short</t>
  </si>
  <si>
    <t>Jeremy Wilson</t>
  </si>
  <si>
    <t>Connor Acosta</t>
  </si>
  <si>
    <t>Timothy Nicholson</t>
  </si>
  <si>
    <t>Katelyn Mosley</t>
  </si>
  <si>
    <t>Tina Fields</t>
  </si>
  <si>
    <t>Sydney Sullivan</t>
  </si>
  <si>
    <t>Krystal Hendricks</t>
  </si>
  <si>
    <t>Brian Jones</t>
  </si>
  <si>
    <t>Michael Salas</t>
  </si>
  <si>
    <t>Karen Allen</t>
  </si>
  <si>
    <t>Stephen Williams</t>
  </si>
  <si>
    <t>Diane Munoz</t>
  </si>
  <si>
    <t>Teresa Callahan</t>
  </si>
  <si>
    <t>Christine Green</t>
  </si>
  <si>
    <t>Kathleen Davis</t>
  </si>
  <si>
    <t>Sarah Forbes</t>
  </si>
  <si>
    <t>Shannon Woodard</t>
  </si>
  <si>
    <t>Michael Reed</t>
  </si>
  <si>
    <t>Joan Atkins</t>
  </si>
  <si>
    <t>Jasmine Hall</t>
  </si>
  <si>
    <t>James Peterson</t>
  </si>
  <si>
    <t>Cassandra Beck</t>
  </si>
  <si>
    <t>Maria Harris</t>
  </si>
  <si>
    <t>Jeffery Fischer</t>
  </si>
  <si>
    <t>Laura Carter</t>
  </si>
  <si>
    <t>Hannah Thomas</t>
  </si>
  <si>
    <t>Melissa Barnes</t>
  </si>
  <si>
    <t>Mark Obrien</t>
  </si>
  <si>
    <t>Katie Mullins</t>
  </si>
  <si>
    <t>Teresa Mitchell</t>
  </si>
  <si>
    <t>Paul Gonzalez</t>
  </si>
  <si>
    <t>Justin Stephens</t>
  </si>
  <si>
    <t>Zachary Richards</t>
  </si>
  <si>
    <t>Shawn Thomas</t>
  </si>
  <si>
    <t>Natalie Bryan</t>
  </si>
  <si>
    <t>James Brewer</t>
  </si>
  <si>
    <t>Austin Cameron</t>
  </si>
  <si>
    <t>Jose Finley</t>
  </si>
  <si>
    <t>Dustin Fitzgerald</t>
  </si>
  <si>
    <t>Jeremy Barrett</t>
  </si>
  <si>
    <t>Connie Garcia</t>
  </si>
  <si>
    <t>Michael Jimenez</t>
  </si>
  <si>
    <t>Kristina Clark</t>
  </si>
  <si>
    <t>Katherine Simmons</t>
  </si>
  <si>
    <t>Cheryl Johnson</t>
  </si>
  <si>
    <t>Vicki Holder</t>
  </si>
  <si>
    <t>Adam Thomas</t>
  </si>
  <si>
    <t>Rebecca Thomas</t>
  </si>
  <si>
    <t>Kevin Miller</t>
  </si>
  <si>
    <t>Ryan Adams</t>
  </si>
  <si>
    <t>Keith Taylor</t>
  </si>
  <si>
    <t>John Griffin</t>
  </si>
  <si>
    <t>Jennifer Marshall</t>
  </si>
  <si>
    <t>Janet Phillips</t>
  </si>
  <si>
    <t>Charles Gibson</t>
  </si>
  <si>
    <t>Carl Hall</t>
  </si>
  <si>
    <t>Daniel Grant</t>
  </si>
  <si>
    <t>Pamela Farmer</t>
  </si>
  <si>
    <t>Nancy Wells</t>
  </si>
  <si>
    <t>Jason Lloyd</t>
  </si>
  <si>
    <t>Joshua Perry</t>
  </si>
  <si>
    <t>Colleen Chapman</t>
  </si>
  <si>
    <t>Stephen Mcconnell</t>
  </si>
  <si>
    <t>Jay Christensen</t>
  </si>
  <si>
    <t>Erica Davis</t>
  </si>
  <si>
    <t>Lisa Perry</t>
  </si>
  <si>
    <t>Richard Brennan</t>
  </si>
  <si>
    <t>Wanda Grant</t>
  </si>
  <si>
    <t>Julie Valdez</t>
  </si>
  <si>
    <t>Victoria Dudley</t>
  </si>
  <si>
    <t>Janet Brown</t>
  </si>
  <si>
    <t>Albert Oconnor</t>
  </si>
  <si>
    <t>Stephanie Brown</t>
  </si>
  <si>
    <t>Michael Ellis</t>
  </si>
  <si>
    <t>Christine Patterson</t>
  </si>
  <si>
    <t>George Garcia</t>
  </si>
  <si>
    <t>Joseph Lewis</t>
  </si>
  <si>
    <t>Katie Hutchinson</t>
  </si>
  <si>
    <t>John Nguyen</t>
  </si>
  <si>
    <t>Austin Simmons</t>
  </si>
  <si>
    <t>Thomas Curry</t>
  </si>
  <si>
    <t>James Solis</t>
  </si>
  <si>
    <t>Angela Wheeler</t>
  </si>
  <si>
    <t>Lori Davis</t>
  </si>
  <si>
    <t>Ashlee Miller</t>
  </si>
  <si>
    <t>Robert Martinez</t>
  </si>
  <si>
    <t>Jorge Gomez</t>
  </si>
  <si>
    <t>Jose Huang</t>
  </si>
  <si>
    <t>Brent Jackson</t>
  </si>
  <si>
    <t>Bryan Scott</t>
  </si>
  <si>
    <t>Brandy Hill</t>
  </si>
  <si>
    <t>Kara Pollard</t>
  </si>
  <si>
    <t>Michelle Wallace</t>
  </si>
  <si>
    <t>Emma Lynch</t>
  </si>
  <si>
    <t>Dillon Ryan</t>
  </si>
  <si>
    <t>Robert Moore</t>
  </si>
  <si>
    <t>Reginald Brown</t>
  </si>
  <si>
    <t>Amanda Nelson</t>
  </si>
  <si>
    <t>Sean Bowen</t>
  </si>
  <si>
    <t>Laura Carr</t>
  </si>
  <si>
    <t>Jonathan Mack</t>
  </si>
  <si>
    <t>Patrick Stuart</t>
  </si>
  <si>
    <t>Christina Bernard</t>
  </si>
  <si>
    <t>Veronica Page</t>
  </si>
  <si>
    <t>Joseph Jones</t>
  </si>
  <si>
    <t>Matthew Johnson</t>
  </si>
  <si>
    <t>Kimberly Fry</t>
  </si>
  <si>
    <t>Alex Phillips</t>
  </si>
  <si>
    <t>Joseph Payne</t>
  </si>
  <si>
    <t>Holly Hall</t>
  </si>
  <si>
    <t>Jill Sherman</t>
  </si>
  <si>
    <t>Anthony Walker</t>
  </si>
  <si>
    <t>Mary Hammond</t>
  </si>
  <si>
    <t>Dana Strong</t>
  </si>
  <si>
    <t>Rebecca Howard</t>
  </si>
  <si>
    <t>Janice Robinson</t>
  </si>
  <si>
    <t>Brittany Frank</t>
  </si>
  <si>
    <t>Haley Hood</t>
  </si>
  <si>
    <t>Nicholas Wilson</t>
  </si>
  <si>
    <t>Debra Craig</t>
  </si>
  <si>
    <t>Mario Moore</t>
  </si>
  <si>
    <t>John Blair</t>
  </si>
  <si>
    <t>Deborah Miller</t>
  </si>
  <si>
    <t>Jill Peterson</t>
  </si>
  <si>
    <t>Desire Landry</t>
  </si>
  <si>
    <t>William Robbins</t>
  </si>
  <si>
    <t>Melanie Marshall</t>
  </si>
  <si>
    <t>Tara Braun</t>
  </si>
  <si>
    <t>Valerie Mccarty</t>
  </si>
  <si>
    <t>Chelsea Robinson</t>
  </si>
  <si>
    <t>Stanley Edwards</t>
  </si>
  <si>
    <t>Cassandra Strong</t>
  </si>
  <si>
    <t>Patrick Galloway</t>
  </si>
  <si>
    <t>Peter Long</t>
  </si>
  <si>
    <t>Adam Singleton</t>
  </si>
  <si>
    <t>Jason Williams</t>
  </si>
  <si>
    <t>Christopher Conner</t>
  </si>
  <si>
    <t>Melinda Carpenter</t>
  </si>
  <si>
    <t>Marcia Rice</t>
  </si>
  <si>
    <t>Kerri Brown</t>
  </si>
  <si>
    <t>Sarah Kennedy</t>
  </si>
  <si>
    <t>Stephanie Jones</t>
  </si>
  <si>
    <t>Michael Iii</t>
  </si>
  <si>
    <t>Christy Ferguson</t>
  </si>
  <si>
    <t>Kenneth Lloyd</t>
  </si>
  <si>
    <t>Brian Parker</t>
  </si>
  <si>
    <t>Jack Welch</t>
  </si>
  <si>
    <t>Michael Grant</t>
  </si>
  <si>
    <t>Richard Johnson</t>
  </si>
  <si>
    <t>Tracy Shannon</t>
  </si>
  <si>
    <t>Lynn Martinez</t>
  </si>
  <si>
    <t>Michelle Munoz</t>
  </si>
  <si>
    <t>Megan Perry</t>
  </si>
  <si>
    <t>Emily Meyer</t>
  </si>
  <si>
    <t>Keith Parker</t>
  </si>
  <si>
    <t>Courtney Young</t>
  </si>
  <si>
    <t>Gregory Brock</t>
  </si>
  <si>
    <t>Katelyn Howell</t>
  </si>
  <si>
    <t>Wanda Lee</t>
  </si>
  <si>
    <t>Megan Hickman</t>
  </si>
  <si>
    <t>Melissa Tate</t>
  </si>
  <si>
    <t>Karen Gibbs</t>
  </si>
  <si>
    <t>Susan Porter</t>
  </si>
  <si>
    <t>Jose Copeland</t>
  </si>
  <si>
    <t>Briana Hall</t>
  </si>
  <si>
    <t>Eric Taylor</t>
  </si>
  <si>
    <t>Keith Parks</t>
  </si>
  <si>
    <t>Samantha Boyer</t>
  </si>
  <si>
    <t>Vanessa Fuentes</t>
  </si>
  <si>
    <t>Robert Thomas</t>
  </si>
  <si>
    <t>Jerry Perry</t>
  </si>
  <si>
    <t>Jason David</t>
  </si>
  <si>
    <t>Kristin Sullivan</t>
  </si>
  <si>
    <t>Corey Burns</t>
  </si>
  <si>
    <t>Amanda Stewart</t>
  </si>
  <si>
    <t>Jason Yang</t>
  </si>
  <si>
    <t>Charles Werner</t>
  </si>
  <si>
    <t>Mark White</t>
  </si>
  <si>
    <t>Nancy Johnson</t>
  </si>
  <si>
    <t>Sandra Burns</t>
  </si>
  <si>
    <t>John Rodriguez</t>
  </si>
  <si>
    <t>Nathan Bennett</t>
  </si>
  <si>
    <t>Angelica Cohen</t>
  </si>
  <si>
    <t>Melanie Mckinney</t>
  </si>
  <si>
    <t>Jennifer Garcia</t>
  </si>
  <si>
    <t>Elizabeth Rose</t>
  </si>
  <si>
    <t>Alyssa Hill</t>
  </si>
  <si>
    <t>Rachel Ford</t>
  </si>
  <si>
    <t>Holly Townsend</t>
  </si>
  <si>
    <t>Andrew Butler</t>
  </si>
  <si>
    <t>Amy Gray</t>
  </si>
  <si>
    <t>Carla Garrett</t>
  </si>
  <si>
    <t>Stephanie Price</t>
  </si>
  <si>
    <t>Robert Santos</t>
  </si>
  <si>
    <t>Tabitha Murray</t>
  </si>
  <si>
    <t>Renee Hernandez</t>
  </si>
  <si>
    <t>Michael Velasquez</t>
  </si>
  <si>
    <t>Martha Hall</t>
  </si>
  <si>
    <t>Joseph Wright</t>
  </si>
  <si>
    <t>Beverly Young</t>
  </si>
  <si>
    <t>Debbie Rodriguez</t>
  </si>
  <si>
    <t>Eddie Owens</t>
  </si>
  <si>
    <t>Matthew Perez</t>
  </si>
  <si>
    <t>Ashley Miller</t>
  </si>
  <si>
    <t>Wendy Kemp</t>
  </si>
  <si>
    <t>Jessica Peterson</t>
  </si>
  <si>
    <t>Carla Grant</t>
  </si>
  <si>
    <t>Leah Jackson</t>
  </si>
  <si>
    <t>Robert Swanson</t>
  </si>
  <si>
    <t>Julie Torres</t>
  </si>
  <si>
    <t>Alicia Cole</t>
  </si>
  <si>
    <t>Frances Wilson</t>
  </si>
  <si>
    <t>Christopher Holden</t>
  </si>
  <si>
    <t>Tammy Cooper</t>
  </si>
  <si>
    <t>Holly Johnson</t>
  </si>
  <si>
    <t>Robert Roberts</t>
  </si>
  <si>
    <t>Samantha Smith</t>
  </si>
  <si>
    <t>Kimberly Brown</t>
  </si>
  <si>
    <t>Alan Mitchell</t>
  </si>
  <si>
    <t>Sandra Ortiz</t>
  </si>
  <si>
    <t>John Villegas</t>
  </si>
  <si>
    <t>Heather Marks</t>
  </si>
  <si>
    <t>Richard Anderson</t>
  </si>
  <si>
    <t>Richard Duarte</t>
  </si>
  <si>
    <t>Brent Johnson</t>
  </si>
  <si>
    <t>Karen Martinez</t>
  </si>
  <si>
    <t>Brandon Melton</t>
  </si>
  <si>
    <t>Joel Rivera</t>
  </si>
  <si>
    <t>Jacqueline Brooks</t>
  </si>
  <si>
    <t>Alexandra Williamson</t>
  </si>
  <si>
    <t>William King</t>
  </si>
  <si>
    <t>Kathryn Weiss</t>
  </si>
  <si>
    <t>Tanner Johnson</t>
  </si>
  <si>
    <t>Christopher Johnson</t>
  </si>
  <si>
    <t>Kaitlin Douglas</t>
  </si>
  <si>
    <t>Bryan Stone</t>
  </si>
  <si>
    <t>Jason Mckenzie</t>
  </si>
  <si>
    <t>Jonathan Johnson</t>
  </si>
  <si>
    <t>Patricia Lowe</t>
  </si>
  <si>
    <t>Scott Barnes</t>
  </si>
  <si>
    <t>Lynn Daniels</t>
  </si>
  <si>
    <t>Peter Pierce</t>
  </si>
  <si>
    <t>Natalie Hale</t>
  </si>
  <si>
    <t>Scott Palmer</t>
  </si>
  <si>
    <t>Latoya Barton</t>
  </si>
  <si>
    <t>Antonio Mccall</t>
  </si>
  <si>
    <t>Nicholas Donaldson</t>
  </si>
  <si>
    <t>Patricia Shelton</t>
  </si>
  <si>
    <t>Crystal Frank</t>
  </si>
  <si>
    <t>Marilyn Rodriguez</t>
  </si>
  <si>
    <t>Mary Harris</t>
  </si>
  <si>
    <t>Shelley Cook</t>
  </si>
  <si>
    <t>Luke Larsen</t>
  </si>
  <si>
    <t>Megan Chang</t>
  </si>
  <si>
    <t>Colleen Hall</t>
  </si>
  <si>
    <t>Mary Davis</t>
  </si>
  <si>
    <t>Erica Hall</t>
  </si>
  <si>
    <t>Tracy Reeves</t>
  </si>
  <si>
    <t>Cheryl Wade</t>
  </si>
  <si>
    <t>Shelly Morrison</t>
  </si>
  <si>
    <t>Christopher Oconnell</t>
  </si>
  <si>
    <t>Nicholas Massey</t>
  </si>
  <si>
    <t>Tammy Martin</t>
  </si>
  <si>
    <t>Chad Jones</t>
  </si>
  <si>
    <t>Cassandra Bennett</t>
  </si>
  <si>
    <t>Kyle Wallace</t>
  </si>
  <si>
    <t>Mark Burnett</t>
  </si>
  <si>
    <t>Karina Graves</t>
  </si>
  <si>
    <t>Patricia Walker</t>
  </si>
  <si>
    <t>Travis Hall</t>
  </si>
  <si>
    <t>Thomas Gray</t>
  </si>
  <si>
    <t>Thomas Taylor</t>
  </si>
  <si>
    <t>Daniel Adams</t>
  </si>
  <si>
    <t>Keith Matthews</t>
  </si>
  <si>
    <t>Derrick Johnson</t>
  </si>
  <si>
    <t>Matthew Mcbride</t>
  </si>
  <si>
    <t>Timothy Paul</t>
  </si>
  <si>
    <t>Timothy White</t>
  </si>
  <si>
    <t>Jason Harrington</t>
  </si>
  <si>
    <t>Carol Garrett</t>
  </si>
  <si>
    <t>Cindy Cook</t>
  </si>
  <si>
    <t>John Hill</t>
  </si>
  <si>
    <t>Francisco Randall</t>
  </si>
  <si>
    <t>Tyler Hall</t>
  </si>
  <si>
    <t>Shannon Fischer</t>
  </si>
  <si>
    <t>Crystal Martinez</t>
  </si>
  <si>
    <t>Jennifer Adams</t>
  </si>
  <si>
    <t>Erin Smith</t>
  </si>
  <si>
    <t>Kelly Lewis</t>
  </si>
  <si>
    <t>Jennifer Kennedy</t>
  </si>
  <si>
    <t>Todd Mcintyre</t>
  </si>
  <si>
    <t>Michael Jones</t>
  </si>
  <si>
    <t>Adam Robinson</t>
  </si>
  <si>
    <t>Sheila Mclean</t>
  </si>
  <si>
    <t>Kayla Herrera</t>
  </si>
  <si>
    <t>Alicia Roth</t>
  </si>
  <si>
    <t>Rachel Adams</t>
  </si>
  <si>
    <t>Nancy Roach</t>
  </si>
  <si>
    <t>Michael Jackson</t>
  </si>
  <si>
    <t>Jerry Hughes</t>
  </si>
  <si>
    <t>Aaron Garrison</t>
  </si>
  <si>
    <t>James Mueller</t>
  </si>
  <si>
    <t>Kimberly Schultz</t>
  </si>
  <si>
    <t>Thomas Sloan</t>
  </si>
  <si>
    <t>David Davis</t>
  </si>
  <si>
    <t>Ruth Vang</t>
  </si>
  <si>
    <t>Taylor Anderson</t>
  </si>
  <si>
    <t>Sarah Ryan</t>
  </si>
  <si>
    <t>William Johnson</t>
  </si>
  <si>
    <t>Brandon Sanders</t>
  </si>
  <si>
    <t>Nicole Olson</t>
  </si>
  <si>
    <t>Johnny Green</t>
  </si>
  <si>
    <t>Melissa Mitchell</t>
  </si>
  <si>
    <t>Desiree Landry</t>
  </si>
  <si>
    <t>Adam Long</t>
  </si>
  <si>
    <t>Bryan Harrell</t>
  </si>
  <si>
    <t>James Wood</t>
  </si>
  <si>
    <t>Robin Fernandez</t>
  </si>
  <si>
    <t>Andrew Oneill</t>
  </si>
  <si>
    <t>Married</t>
  </si>
  <si>
    <t>South Africa</t>
  </si>
  <si>
    <t>Lagos</t>
  </si>
  <si>
    <t>India</t>
  </si>
  <si>
    <t>Spain</t>
  </si>
  <si>
    <t>Purchase Date (Day)</t>
  </si>
  <si>
    <t>Purchase Date(Month)</t>
  </si>
  <si>
    <t>Not Provided</t>
  </si>
  <si>
    <t>Amount Status</t>
  </si>
  <si>
    <t>Number of Customers</t>
  </si>
  <si>
    <t>Revenue Contribution</t>
  </si>
  <si>
    <t>Total Spend ($)</t>
  </si>
  <si>
    <t>Average Spend($)</t>
  </si>
  <si>
    <t>Gender-Based Revenue Analysis</t>
  </si>
  <si>
    <t>Marital Status Spending Behaviour</t>
  </si>
  <si>
    <t>Sunday</t>
  </si>
  <si>
    <t>Monday</t>
  </si>
  <si>
    <t>Tuesday</t>
  </si>
  <si>
    <t>Wednesday</t>
  </si>
  <si>
    <t>Thursday</t>
  </si>
  <si>
    <t>Friday</t>
  </si>
  <si>
    <t>Days of the Week</t>
  </si>
  <si>
    <t>Purchase Frequency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</si>
  <si>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</si>
  <si>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</si>
  <si>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</si>
  <si>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</si>
  <si>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</si>
  <si>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</si>
  <si>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</si>
  <si>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</si>
  <si>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</si>
  <si>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</si>
  <si>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February</t>
  </si>
  <si>
    <t>November</t>
  </si>
  <si>
    <t>Monthly Revenue Trends</t>
  </si>
  <si>
    <t>Customer Count and Revenue Contribution by Location</t>
  </si>
  <si>
    <t>Sum of Amount</t>
  </si>
  <si>
    <t>.</t>
  </si>
  <si>
    <t>Count of Location</t>
  </si>
  <si>
    <t>Regular</t>
  </si>
  <si>
    <t>High value</t>
  </si>
  <si>
    <t>High value Transaction  identification</t>
  </si>
  <si>
    <t>Data completeness and quality review</t>
  </si>
  <si>
    <t>No of Customers</t>
  </si>
  <si>
    <t>SUMIF(#REF!,$P12,#REF!)</t>
  </si>
  <si>
    <t>Total Spenidng</t>
  </si>
  <si>
    <t>Gender Based Analysis</t>
  </si>
  <si>
    <t>Grand Total</t>
  </si>
  <si>
    <t>Row Labels</t>
  </si>
  <si>
    <t>Total</t>
  </si>
  <si>
    <t xml:space="preserve"> </t>
  </si>
  <si>
    <t>Saturday</t>
  </si>
  <si>
    <t>Frequency count</t>
  </si>
  <si>
    <t>Transaction Identification</t>
  </si>
  <si>
    <t xml:space="preserve"> Customer Location Using Customer ID</t>
  </si>
  <si>
    <t>Revenue  by Days of the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</si>
</sst>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$-409]#,##0.00"/>
    <numFmt numFmtId="166" formatCode="[$-F800]dddd\,\ mmmm\ dd\,\ yyyy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Open Sans"/>
      <family val="2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2" fillId="0" borderId="0" xfId="1" applyNumberFormat="1" applyFont="1" applyBorder="1"/>
    <xf numFmtId="14" fontId="2" fillId="0" borderId="0" xfId="0" applyNumberFormat="1" applyFont="1" applyAlignment="1">
      <alignment vertical="center"/>
    </xf>
    <xf numFmtId="0" fontId="0" fillId="0" borderId="0" xfId="0" applyAlignment="1">
      <alignment horizontal="center" vertical="top"/>
    </xf>
    <xf numFmtId="165" fontId="2" fillId="0" borderId="0" xfId="1" applyNumberFormat="1" applyFont="1" applyBorder="1"/>
    <xf numFmtId="165" fontId="0" fillId="0" borderId="0" xfId="0" applyNumberFormat="1"/>
    <xf numFmtId="0" fontId="4" fillId="0" borderId="0" xfId="0" applyFont="1"/>
    <xf numFmtId="0" fontId="3" fillId="0" borderId="0" xfId="0" applyFont="1" applyAlignment="1">
      <alignment horizontal="center" vertical="top"/>
    </xf>
    <xf numFmtId="165" fontId="4" fillId="0" borderId="0" xfId="1" applyNumberFormat="1" applyFont="1" applyBorder="1"/>
    <xf numFmtId="0" fontId="3" fillId="0" borderId="0" xfId="0" applyFont="1"/>
    <xf numFmtId="166" fontId="4" fillId="0" borderId="0" xfId="0" applyNumberFormat="1" applyFont="1"/>
    <xf numFmtId="166" fontId="2" fillId="0" borderId="0" xfId="0" applyNumberFormat="1" applyFont="1"/>
    <xf numFmtId="166" fontId="2" fillId="0" borderId="0" xfId="0" applyNumberFormat="1" applyFont="1" applyAlignment="1">
      <alignment vertical="center"/>
    </xf>
    <xf numFmtId="166" fontId="0" fillId="0" borderId="0" xfId="0" applyNumberFormat="1"/>
    <xf numFmtId="44" fontId="3" fillId="0" borderId="0" xfId="2" applyFont="1"/>
    <xf numFmtId="44" fontId="0" fillId="0" borderId="0" xfId="2" applyFont="1"/>
    <xf numFmtId="0" fontId="3" fillId="0" borderId="0" xfId="0" applyFont="1" applyAlignment="1">
      <alignment wrapText="1"/>
    </xf>
    <xf numFmtId="0" fontId="0" fillId="0" borderId="0" xfId="0" pivotButton="1"/>
    <xf numFmtId="0" fontId="5" fillId="0" borderId="0" xfId="0" applyFont="1"/>
    <xf numFmtId="44" fontId="0" fillId="0" borderId="0" xfId="0" applyNumberFormat="1"/>
    <xf numFmtId="1" fontId="3" fillId="0" borderId="0" xfId="2" applyNumberFormat="1" applyFont="1"/>
    <xf numFmtId="0" fontId="3" fillId="3" borderId="0" xfId="0" applyFont="1" applyFill="1"/>
    <xf numFmtId="1" fontId="3" fillId="3" borderId="0" xfId="2" applyNumberFormat="1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4" borderId="0" xfId="0" applyFill="1"/>
    <xf numFmtId="165" fontId="4" fillId="0" borderId="0" xfId="1" applyNumberFormat="1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9"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5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font>
        <b/>
      </font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2" defaultTableStyle="TableStyleMedium2" defaultPivotStyle="PivotStyleLight16">
    <tableStyle name="PivotTable Style 1" table="0" count="0" xr9:uid="{5C3D32E2-09D8-4937-9ECE-8DD4231FBE0D}"/>
    <tableStyle name="Table Style 1" pivot="0" count="0" xr9:uid="{C651982C-AED7-4D1B-B902-4B5BAAA76B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Frequency</a:t>
            </a:r>
            <a:r>
              <a:rPr lang="en-US" b="1" baseline="0"/>
              <a:t> count by days of the Week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11-44E0-9F96-70D5E3ADC36A}"/>
              </c:ext>
            </c:extLst>
          </c:dPt>
          <c:cat>
            <c:strRef>
              <c:f>Sheet7!$A$2:$A$8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Tuesday</c:v>
                </c:pt>
                <c:pt idx="3">
                  <c:v>Thursday</c:v>
                </c:pt>
                <c:pt idx="4">
                  <c:v>Saturday</c:v>
                </c:pt>
                <c:pt idx="5">
                  <c:v>Sunday</c:v>
                </c:pt>
                <c:pt idx="6">
                  <c:v>Wednesday</c:v>
                </c:pt>
              </c:strCache>
            </c:strRef>
          </c:cat>
          <c:val>
            <c:numRef>
              <c:f>Sheet7!$B$2:$B$8</c:f>
              <c:numCache>
                <c:formatCode>General</c:formatCode>
                <c:ptCount val="7"/>
                <c:pt idx="0">
                  <c:v>84</c:v>
                </c:pt>
                <c:pt idx="1">
                  <c:v>77</c:v>
                </c:pt>
                <c:pt idx="2">
                  <c:v>75</c:v>
                </c:pt>
                <c:pt idx="3">
                  <c:v>69</c:v>
                </c:pt>
                <c:pt idx="4">
                  <c:v>69</c:v>
                </c:pt>
                <c:pt idx="5">
                  <c:v>64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1-44E0-9F96-70D5E3ADC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7165192"/>
        <c:axId val="607168432"/>
      </c:barChart>
      <c:catAx>
        <c:axId val="607165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68432"/>
        <c:crosses val="autoZero"/>
        <c:auto val="1"/>
        <c:lblAlgn val="ctr"/>
        <c:lblOffset val="100"/>
        <c:noMultiLvlLbl val="0"/>
      </c:catAx>
      <c:valAx>
        <c:axId val="60716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65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[ExcelAurora Retail Sales Analysis.xlsx]KPI's!PivotTable9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Revenue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'KPI''s'!$B$3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4B-4A19-BDAC-5BD044D1C48D}"/>
              </c:ext>
            </c:extLst>
          </c:dPt>
          <c:cat>
            <c:strRef>
              <c:f>'KPI''s'!$A$4:$A$7</c:f>
              <c:strCache>
                <c:ptCount val="4"/>
                <c:pt idx="0">
                  <c:v>Lagos</c:v>
                </c:pt>
                <c:pt idx="1">
                  <c:v>Spain</c:v>
                </c:pt>
                <c:pt idx="2">
                  <c:v>India</c:v>
                </c:pt>
                <c:pt idx="3">
                  <c:v>South Africa</c:v>
                </c:pt>
              </c:strCache>
            </c:strRef>
          </c:cat>
          <c:val>
            <c:numRef>
              <c:f>'KPI''s'!$B$4:$B$7</c:f>
              <c:numCache>
                <c:formatCode>General</c:formatCode>
                <c:ptCount val="4"/>
                <c:pt idx="0">
                  <c:v>601615.17119205161</c:v>
                </c:pt>
                <c:pt idx="1">
                  <c:v>468878.58251691714</c:v>
                </c:pt>
                <c:pt idx="2">
                  <c:v>329239.74632370134</c:v>
                </c:pt>
                <c:pt idx="3">
                  <c:v>322588.3580681798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B-4A19-BDAC-5BD044D1C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641592"/>
        <c:axId val="539643752"/>
      </c:barChart>
      <c:catAx>
        <c:axId val="53964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43752"/>
        <c:crosses val="autoZero"/>
        <c:auto val="1"/>
        <c:lblAlgn val="ctr"/>
        <c:lblOffset val="100"/>
        <c:noMultiLvlLbl val="0"/>
      </c:catAx>
      <c:valAx>
        <c:axId val="53964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4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[ExcelAurora Retail Sales Analysis.xlsx]Dashoards insights!PivotTable18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Customer Count of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'Dashoards insights'!$B$3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A91-457B-8DA8-CF6AA4045D2F}"/>
              </c:ext>
            </c:extLst>
          </c:dPt>
          <c:cat>
            <c:strRef>
              <c:f>'Dashoards insights'!$A$4:$A$7</c:f>
              <c:strCache>
                <c:ptCount val="4"/>
                <c:pt idx="0">
                  <c:v>Lagos</c:v>
                </c:pt>
                <c:pt idx="1">
                  <c:v>Spain</c:v>
                </c:pt>
                <c:pt idx="2">
                  <c:v>South Africa</c:v>
                </c:pt>
                <c:pt idx="3">
                  <c:v>India</c:v>
                </c:pt>
              </c:strCache>
            </c:strRef>
          </c:cat>
          <c:val>
            <c:numRef>
              <c:f>'Dashoards insights'!$B$4:$B$7</c:f>
              <c:numCache>
                <c:formatCode>General</c:formatCode>
                <c:ptCount val="4"/>
                <c:pt idx="0">
                  <c:v>91</c:v>
                </c:pt>
                <c:pt idx="1">
                  <c:v>80</c:v>
                </c:pt>
                <c:pt idx="2">
                  <c:v>68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0-49C1-9C6F-5252664C8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1290128"/>
        <c:axId val="551291208"/>
      </c:barChart>
      <c:catAx>
        <c:axId val="55129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91208"/>
        <c:crosses val="autoZero"/>
        <c:auto val="1"/>
        <c:lblAlgn val="ctr"/>
        <c:lblOffset val="100"/>
        <c:noMultiLvlLbl val="0"/>
      </c:catAx>
      <c:valAx>
        <c:axId val="551291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9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Revenue Trends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'Analysis Sheet'!$F$2:$F$13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'Analysis Sheet'!$G$2:$G$13</c:f>
              <c:numCache>
                <c:formatCode>_("$"* #,##0.00_);_("$"* \(#,##0.00\);_("$"* "-"??_);_(@_)</c:formatCode>
                <c:ptCount val="12"/>
                <c:pt idx="0">
                  <c:v>322096.52630533976</c:v>
                </c:pt>
                <c:pt idx="1">
                  <c:v>286792.9316543251</c:v>
                </c:pt>
                <c:pt idx="2">
                  <c:v>183293.38517734961</c:v>
                </c:pt>
                <c:pt idx="3">
                  <c:v>316595.83178626961</c:v>
                </c:pt>
                <c:pt idx="4">
                  <c:v>273687.49288693612</c:v>
                </c:pt>
                <c:pt idx="5">
                  <c:v>212244.14596715872</c:v>
                </c:pt>
                <c:pt idx="6">
                  <c:v>254748.30864232732</c:v>
                </c:pt>
                <c:pt idx="7">
                  <c:v>295542.82804816548</c:v>
                </c:pt>
                <c:pt idx="8">
                  <c:v>203770.43155984904</c:v>
                </c:pt>
                <c:pt idx="9">
                  <c:v>102512.41109853468</c:v>
                </c:pt>
                <c:pt idx="10">
                  <c:v>196744.17426792713</c:v>
                </c:pt>
                <c:pt idx="11">
                  <c:v>160911.80090558328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4-49EB-B5D8-5CF9E87F2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646992"/>
        <c:axId val="539639792"/>
      </c:lineChart>
      <c:catAx>
        <c:axId val="53964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39792"/>
        <c:crosses val="autoZero"/>
        <c:auto val="1"/>
        <c:lblAlgn val="ctr"/>
        <c:lblOffset val="100"/>
        <c:noMultiLvlLbl val="0"/>
      </c:catAx>
      <c:valAx>
        <c:axId val="539639792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4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[ExcelAurora Retail Sales Analysis.xlsx]KPI's!PivotTable9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Revenue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'KPI''s'!$B$3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5E-4C10-9881-3E67B8E415BD}"/>
              </c:ext>
            </c:extLst>
          </c:dPt>
          <c:cat>
            <c:strRef>
              <c:f>'KPI''s'!$A$4:$A$7</c:f>
              <c:strCache>
                <c:ptCount val="4"/>
                <c:pt idx="0">
                  <c:v>Lagos</c:v>
                </c:pt>
                <c:pt idx="1">
                  <c:v>Spain</c:v>
                </c:pt>
                <c:pt idx="2">
                  <c:v>India</c:v>
                </c:pt>
                <c:pt idx="3">
                  <c:v>South Africa</c:v>
                </c:pt>
              </c:strCache>
            </c:strRef>
          </c:cat>
          <c:val>
            <c:numRef>
              <c:f>'KPI''s'!$B$4:$B$7</c:f>
              <c:numCache>
                <c:formatCode>General</c:formatCode>
                <c:ptCount val="4"/>
                <c:pt idx="0">
                  <c:v>601615.17119205161</c:v>
                </c:pt>
                <c:pt idx="1">
                  <c:v>468878.58251691714</c:v>
                </c:pt>
                <c:pt idx="2">
                  <c:v>329239.74632370134</c:v>
                </c:pt>
                <c:pt idx="3">
                  <c:v>322588.3580681798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5E-4C10-9881-3E67B8E41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641592"/>
        <c:axId val="539643752"/>
      </c:barChart>
      <c:catAx>
        <c:axId val="53964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43752"/>
        <c:crosses val="autoZero"/>
        <c:auto val="1"/>
        <c:lblAlgn val="ctr"/>
        <c:lblOffset val="100"/>
        <c:noMultiLvlLbl val="0"/>
      </c:catAx>
      <c:valAx>
        <c:axId val="539643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4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[ExcelAurora Retail Sales Analysis.xlsx]Sheet3!PivotTable18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contribution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BD-4978-982F-F5F3324526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D-4978-982F-F5F3324526BB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D-4978-982F-F5F3324526BB}"/>
              </c:ext>
            </c:extLst>
          </c:dPt>
          <c:dPt>
            <c:idx val="3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BD-4978-982F-F5F3324526BB}"/>
              </c:ext>
            </c:extLst>
          </c:dPt>
          <c:dPt>
            <c:idx val="4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BD-4978-982F-F5F3324526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Sheet3!$A$4:$A$8</c:f>
              <c:strCache>
                <c:ptCount val="5"/>
                <c:pt idx="0">
                  <c:v>Not Provided</c:v>
                </c:pt>
                <c:pt idx="1">
                  <c:v>Lagos</c:v>
                </c:pt>
                <c:pt idx="2">
                  <c:v>Spain</c:v>
                </c:pt>
                <c:pt idx="3">
                  <c:v>India</c:v>
                </c:pt>
                <c:pt idx="4">
                  <c:v>South Africa</c:v>
                </c:pt>
              </c:strCache>
            </c:strRef>
          </c:cat>
          <c:val>
            <c:numRef>
              <c:f>Sheet3!$B$4:$B$8</c:f>
              <c:numCache>
                <c:formatCode>_("$"* #,##0.00_);_("$"* \(#,##0.00\);_("$"* "-"??_);_(@_)</c:formatCode>
                <c:ptCount val="5"/>
                <c:pt idx="0">
                  <c:v>1086618.4101989162</c:v>
                </c:pt>
                <c:pt idx="1">
                  <c:v>601615.17119205149</c:v>
                </c:pt>
                <c:pt idx="2">
                  <c:v>468878.5825169172</c:v>
                </c:pt>
                <c:pt idx="3">
                  <c:v>329239.74632370134</c:v>
                </c:pt>
                <c:pt idx="4">
                  <c:v>322588.35806817986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BD-4978-982F-F5F3324526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High-Value Transaction Identification</a:t>
            </a:r>
            <a:endParaRPr lang="en-US" sz="1400" b="1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65-41E7-B03F-6C8821F70691}"/>
              </c:ext>
            </c:extLst>
          </c:dPt>
          <c:cat>
            <c:strRef>
              <c:f>'Analysis Sheet'!$F$19:$F$20</c:f>
              <c:strCache>
                <c:ptCount val="2"/>
                <c:pt idx="0">
                  <c:v>Regular</c:v>
                </c:pt>
                <c:pt idx="1">
                  <c:v>High value</c:v>
                </c:pt>
              </c:strCache>
            </c:strRef>
          </c:cat>
          <c:val>
            <c:numRef>
              <c:f>'Analysis Sheet'!$G$19:$G$20</c:f>
              <c:numCache>
                <c:formatCode>0</c:formatCode>
                <c:ptCount val="2"/>
                <c:pt idx="0">
                  <c:v>457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5-41E7-B03F-6C8821F7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1669880"/>
        <c:axId val="571671320"/>
      </c:barChart>
      <c:catAx>
        <c:axId val="571669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71320"/>
        <c:crosses val="autoZero"/>
        <c:auto val="1"/>
        <c:lblAlgn val="ctr"/>
        <c:lblOffset val="100"/>
        <c:noMultiLvlLbl val="0"/>
      </c:catAx>
      <c:valAx>
        <c:axId val="571671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69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[ExcelAurora Retail Sales Analysis.xlsx]Sheet3!PivotTable18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contribution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26-43E0-A88F-3F4E2EA53D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26-43E0-A88F-3F4E2EA53DEC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26-43E0-A88F-3F4E2EA53DEC}"/>
              </c:ext>
            </c:extLst>
          </c:dPt>
          <c:dPt>
            <c:idx val="3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26-43E0-A88F-3F4E2EA53DEC}"/>
              </c:ext>
            </c:extLst>
          </c:dPt>
          <c:dPt>
            <c:idx val="4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826-43E0-A88F-3F4E2EA53D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Sheet3!$A$4:$A$8</c:f>
              <c:strCache>
                <c:ptCount val="5"/>
                <c:pt idx="0">
                  <c:v>Not Provided</c:v>
                </c:pt>
                <c:pt idx="1">
                  <c:v>Lagos</c:v>
                </c:pt>
                <c:pt idx="2">
                  <c:v>Spain</c:v>
                </c:pt>
                <c:pt idx="3">
                  <c:v>India</c:v>
                </c:pt>
                <c:pt idx="4">
                  <c:v>South Africa</c:v>
                </c:pt>
              </c:strCache>
            </c:strRef>
          </c:cat>
          <c:val>
            <c:numRef>
              <c:f>Sheet3!$B$4:$B$8</c:f>
              <c:numCache>
                <c:formatCode>_("$"* #,##0.00_);_("$"* \(#,##0.00\);_("$"* "-"??_);_(@_)</c:formatCode>
                <c:ptCount val="5"/>
                <c:pt idx="0">
                  <c:v>1086618.4101989162</c:v>
                </c:pt>
                <c:pt idx="1">
                  <c:v>601615.17119205149</c:v>
                </c:pt>
                <c:pt idx="2">
                  <c:v>468878.5825169172</c:v>
                </c:pt>
                <c:pt idx="3">
                  <c:v>329239.74632370134</c:v>
                </c:pt>
                <c:pt idx="4">
                  <c:v>322588.35806817986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26-43E0-A88F-3F4E2EA53D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Contribution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'Analysis Sheet'!$K$2</c:f>
              <c:strCache>
                <c:ptCount val="1"/>
                <c:pt idx="0">
                  <c:v>Total Spenidng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12-41FB-AABA-755925BD9C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12-41FB-AABA-755925BD9C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Sheet'!$J$3:$J$4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'Analysis Sheet'!$K$3:$K$4</c:f>
              <c:numCache>
                <c:formatCode>_("$"* #,##0.00_);_("$"* \(#,##0.00\);_("$"* "-"??_);_(@_)</c:formatCode>
                <c:ptCount val="2"/>
                <c:pt idx="0">
                  <c:v>1498241.7059580744</c:v>
                </c:pt>
                <c:pt idx="1">
                  <c:v>1310698.5623416915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12-41FB-AABA-755925BD9C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Purchas</a:t>
            </a:r>
            <a:r>
              <a:rPr lang="en-US" b="1" baseline="0">
                <a:solidFill>
                  <a:schemeClr val="tx1"/>
                </a:solidFill>
              </a:rPr>
              <a:t>e Frequency by days of the Week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83-4A98-B9B4-E515B345D21F}"/>
              </c:ext>
            </c:extLst>
          </c:dPt>
          <c:cat>
            <c:strLit>
              <c:ptCount val="7"/>
              <c:pt idx="0">
                <c:v>Saturday</c:v>
              </c:pt>
              <c:pt idx="1">
                <c:v>Monday</c:v>
              </c:pt>
              <c:pt idx="2">
                <c:v>Friday</c:v>
              </c:pt>
              <c:pt idx="3">
                <c:v>Tuesday</c:v>
              </c:pt>
              <c:pt idx="4">
                <c:v>Wednesday</c:v>
              </c:pt>
              <c:pt idx="5">
                <c:v>Thursday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524784.1690196686</c:v>
              </c:pt>
              <c:pt idx="1">
                <c:v>489674.35103365988</c:v>
              </c:pt>
              <c:pt idx="2">
                <c:v>478467.13229413051</c:v>
              </c:pt>
              <c:pt idx="3">
                <c:v>390792.51983784628</c:v>
              </c:pt>
              <c:pt idx="4">
                <c:v>347664.08595592971</c:v>
              </c:pt>
              <c:pt idx="5">
                <c:v>334101.11102710955</c:v>
              </c:pt>
              <c:pt idx="6">
                <c:v>243456.89913142158</c:v>
              </c:pt>
            </c:numLit>
          </c:val>
          <c:extLst>
            <c:ext xmlns:c16="http://schemas.microsoft.com/office/drawing/2014/chart" uri="{C3380CC4-5D6E-409C-BE32-E72D297353CC}">
              <c16:uniqueId val="{00000002-0783-4A98-B9B4-E515B345D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514200"/>
        <c:axId val="444509880"/>
      </c:barChart>
      <c:catAx>
        <c:axId val="444514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09880"/>
        <c:crosses val="autoZero"/>
        <c:auto val="1"/>
        <c:lblAlgn val="ctr"/>
        <c:lblOffset val="100"/>
        <c:noMultiLvlLbl val="0"/>
      </c:catAx>
      <c:valAx>
        <c:axId val="444509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14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[ExcelAurora Retail Sales Analysis.xlsx]Sheet3!PivotTable18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Revenue</a:t>
            </a:r>
            <a:r>
              <a:rPr lang="en-US" b="1" baseline="0">
                <a:solidFill>
                  <a:sysClr val="windowText" lastClr="000000"/>
                </a:solidFill>
              </a:rPr>
              <a:t> contribution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62-45A5-986C-BCDAAC4B9D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62-45A5-986C-BCDAAC4B9D12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62-45A5-986C-BCDAAC4B9D12}"/>
              </c:ext>
            </c:extLst>
          </c:dPt>
          <c:dPt>
            <c:idx val="3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62-45A5-986C-BCDAAC4B9D12}"/>
              </c:ext>
            </c:extLst>
          </c:dPt>
          <c:dPt>
            <c:idx val="4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62-45A5-986C-BCDAAC4B9D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Sheet3!$A$4:$A$8</c:f>
              <c:strCache>
                <c:ptCount val="5"/>
                <c:pt idx="0">
                  <c:v>Not Provided</c:v>
                </c:pt>
                <c:pt idx="1">
                  <c:v>Lagos</c:v>
                </c:pt>
                <c:pt idx="2">
                  <c:v>Spain</c:v>
                </c:pt>
                <c:pt idx="3">
                  <c:v>India</c:v>
                </c:pt>
                <c:pt idx="4">
                  <c:v>South Africa</c:v>
                </c:pt>
              </c:strCache>
            </c:strRef>
          </c:cat>
          <c:val>
            <c:numRef>
              <c:f>Sheet3!$B$4:$B$8</c:f>
              <c:numCache>
                <c:formatCode>_("$"* #,##0.00_);_("$"* \(#,##0.00\);_("$"* "-"??_);_(@_)</c:formatCode>
                <c:ptCount val="5"/>
                <c:pt idx="0">
                  <c:v>1086618.4101989162</c:v>
                </c:pt>
                <c:pt idx="1">
                  <c:v>601615.17119205149</c:v>
                </c:pt>
                <c:pt idx="2">
                  <c:v>468878.5825169172</c:v>
                </c:pt>
                <c:pt idx="3">
                  <c:v>329239.74632370134</c:v>
                </c:pt>
                <c:pt idx="4">
                  <c:v>322588.35806817986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62-45A5-986C-BCDAAC4B9D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Monthly</a:t>
            </a:r>
            <a:r>
              <a:rPr lang="en-US" b="1" baseline="0">
                <a:solidFill>
                  <a:sysClr val="windowText" lastClr="000000"/>
                </a:solidFill>
              </a:rPr>
              <a:t> Revenue Trends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'Analysis Sheet'!$F$2:$F$13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'Analysis Sheet'!$G$2:$G$13</c:f>
              <c:numCache>
                <c:formatCode>_("$"* #,##0.00_);_("$"* \(#,##0.00\);_("$"* "-"??_);_(@_)</c:formatCode>
                <c:ptCount val="12"/>
                <c:pt idx="0">
                  <c:v>322096.52630533976</c:v>
                </c:pt>
                <c:pt idx="1">
                  <c:v>286792.9316543251</c:v>
                </c:pt>
                <c:pt idx="2">
                  <c:v>183293.38517734961</c:v>
                </c:pt>
                <c:pt idx="3">
                  <c:v>316595.83178626961</c:v>
                </c:pt>
                <c:pt idx="4">
                  <c:v>273687.49288693612</c:v>
                </c:pt>
                <c:pt idx="5">
                  <c:v>212244.14596715872</c:v>
                </c:pt>
                <c:pt idx="6">
                  <c:v>254748.30864232732</c:v>
                </c:pt>
                <c:pt idx="7">
                  <c:v>295542.82804816548</c:v>
                </c:pt>
                <c:pt idx="8">
                  <c:v>203770.43155984904</c:v>
                </c:pt>
                <c:pt idx="9">
                  <c:v>102512.41109853468</c:v>
                </c:pt>
                <c:pt idx="10">
                  <c:v>196744.17426792713</c:v>
                </c:pt>
                <c:pt idx="11">
                  <c:v>160911.80090558328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64-49A8-A87B-998DB5A79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646992"/>
        <c:axId val="539639792"/>
      </c:lineChart>
      <c:catAx>
        <c:axId val="53964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39792"/>
        <c:crosses val="autoZero"/>
        <c:auto val="1"/>
        <c:lblAlgn val="ctr"/>
        <c:lblOffset val="100"/>
        <c:noMultiLvlLbl val="0"/>
      </c:catAx>
      <c:valAx>
        <c:axId val="539639792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4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[ExcelAurora Retail Sales Analysis.xlsx]KPI's!PivotTable9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Revenue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'KPI''s'!$B$3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7E-43C0-8332-7E895C539067}"/>
              </c:ext>
            </c:extLst>
          </c:dPt>
          <c:cat>
            <c:strRef>
              <c:f>'KPI''s'!$A$4:$A$7</c:f>
              <c:strCache>
                <c:ptCount val="4"/>
                <c:pt idx="0">
                  <c:v>Lagos</c:v>
                </c:pt>
                <c:pt idx="1">
                  <c:v>Spain</c:v>
                </c:pt>
                <c:pt idx="2">
                  <c:v>India</c:v>
                </c:pt>
                <c:pt idx="3">
                  <c:v>South Africa</c:v>
                </c:pt>
              </c:strCache>
            </c:strRef>
          </c:cat>
          <c:val>
            <c:numRef>
              <c:f>'KPI''s'!$B$4:$B$7</c:f>
              <c:numCache>
                <c:formatCode>General</c:formatCode>
                <c:ptCount val="4"/>
                <c:pt idx="0">
                  <c:v>601615.17119205161</c:v>
                </c:pt>
                <c:pt idx="1">
                  <c:v>468878.58251691714</c:v>
                </c:pt>
                <c:pt idx="2">
                  <c:v>329239.74632370134</c:v>
                </c:pt>
                <c:pt idx="3">
                  <c:v>322588.3580681798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7E-43C0-8332-7E895C539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641592"/>
        <c:axId val="539643752"/>
      </c:barChart>
      <c:catAx>
        <c:axId val="53964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43752"/>
        <c:crosses val="autoZero"/>
        <c:auto val="1"/>
        <c:lblAlgn val="ctr"/>
        <c:lblOffset val="100"/>
        <c:noMultiLvlLbl val="0"/>
      </c:catAx>
      <c:valAx>
        <c:axId val="539643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4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[ExcelAurora Retail Sales Analysis.xlsx]Dashoards insights!PivotTable18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Customer Count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'Dashoards insights'!$B$3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48-4FB4-A4E2-5784719B8B5D}"/>
              </c:ext>
            </c:extLst>
          </c:dPt>
          <c:cat>
            <c:strRef>
              <c:f>'Dashoards insights'!$A$4:$A$7</c:f>
              <c:strCache>
                <c:ptCount val="4"/>
                <c:pt idx="0">
                  <c:v>Lagos</c:v>
                </c:pt>
                <c:pt idx="1">
                  <c:v>Spain</c:v>
                </c:pt>
                <c:pt idx="2">
                  <c:v>South Africa</c:v>
                </c:pt>
                <c:pt idx="3">
                  <c:v>India</c:v>
                </c:pt>
              </c:strCache>
            </c:strRef>
          </c:cat>
          <c:val>
            <c:numRef>
              <c:f>'Dashoards insights'!$B$4:$B$7</c:f>
              <c:numCache>
                <c:formatCode>General</c:formatCode>
                <c:ptCount val="4"/>
                <c:pt idx="0">
                  <c:v>91</c:v>
                </c:pt>
                <c:pt idx="1">
                  <c:v>80</c:v>
                </c:pt>
                <c:pt idx="2">
                  <c:v>68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48-4FB4-A4E2-5784719B8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51290128"/>
        <c:axId val="551291208"/>
      </c:barChart>
      <c:catAx>
        <c:axId val="55129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91208"/>
        <c:crosses val="autoZero"/>
        <c:auto val="1"/>
        <c:lblAlgn val="ctr"/>
        <c:lblOffset val="100"/>
        <c:noMultiLvlLbl val="0"/>
      </c:catAx>
      <c:valAx>
        <c:axId val="551291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9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</a:rPr>
              <a:t>Revenue</a:t>
            </a:r>
            <a:r>
              <a:rPr lang="en-US" sz="1400" baseline="0">
                <a:solidFill>
                  <a:sysClr val="windowText" lastClr="000000"/>
                </a:solidFill>
              </a:rPr>
              <a:t> Contribution by Gender</a:t>
            </a:r>
            <a:endParaRPr lang="en-US" sz="14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'Analysis Sheet'!$K$2</c:f>
              <c:strCache>
                <c:ptCount val="1"/>
                <c:pt idx="0">
                  <c:v>Total Spenidng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8B-4ACA-B5D8-1D42E6140E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8B-4ACA-B5D8-1D42E6140E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Sheet'!$J$3:$J$4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'Analysis Sheet'!$K$3:$K$4</c:f>
              <c:numCache>
                <c:formatCode>_("$"* #,##0.00_);_("$"* \(#,##0.00\);_("$"* "-"??_);_(@_)</c:formatCode>
                <c:ptCount val="2"/>
                <c:pt idx="0">
                  <c:v>1498241.7059580744</c:v>
                </c:pt>
                <c:pt idx="1">
                  <c:v>1310698.5623416915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8B-4ACA-B5D8-1D42E6140E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bg1"/>
                </a:solidFill>
                <a:effectLst/>
              </a:rPr>
              <a:t>High-Value Transaction Identification</a:t>
            </a:r>
            <a:endParaRPr lang="en-US" sz="1400" b="1" i="0" u="none" strike="noStrike" kern="1200" spc="0" baseline="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14-4D31-B6A2-97911C471453}"/>
              </c:ext>
            </c:extLst>
          </c:dPt>
          <c:cat>
            <c:strRef>
              <c:f>'Analysis Sheet'!$F$19:$F$20</c:f>
              <c:strCache>
                <c:ptCount val="2"/>
                <c:pt idx="0">
                  <c:v>Regular</c:v>
                </c:pt>
                <c:pt idx="1">
                  <c:v>High value</c:v>
                </c:pt>
              </c:strCache>
            </c:strRef>
          </c:cat>
          <c:val>
            <c:numRef>
              <c:f>'Analysis Sheet'!$G$19:$G$20</c:f>
              <c:numCache>
                <c:formatCode>0</c:formatCode>
                <c:ptCount val="2"/>
                <c:pt idx="0">
                  <c:v>457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14-4D31-B6A2-97911C471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1669880"/>
        <c:axId val="571671320"/>
      </c:barChart>
      <c:catAx>
        <c:axId val="571669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71320"/>
        <c:crosses val="autoZero"/>
        <c:auto val="1"/>
        <c:lblAlgn val="ctr"/>
        <c:lblOffset val="100"/>
        <c:noMultiLvlLbl val="0"/>
      </c:catAx>
      <c:valAx>
        <c:axId val="5716713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69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Frequency</a:t>
            </a:r>
            <a:r>
              <a:rPr lang="en-US" b="1" baseline="0">
                <a:solidFill>
                  <a:schemeClr val="tx1"/>
                </a:solidFill>
              </a:rPr>
              <a:t> count by days of the Week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53-46CF-86DA-AA6BF936AC81}"/>
              </c:ext>
            </c:extLst>
          </c:dPt>
          <c:cat>
            <c:strRef>
              <c:f>Sheet7!$A$2:$A$8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Tuesday</c:v>
                </c:pt>
                <c:pt idx="3">
                  <c:v>Thursday</c:v>
                </c:pt>
                <c:pt idx="4">
                  <c:v>Saturday</c:v>
                </c:pt>
                <c:pt idx="5">
                  <c:v>Sunday</c:v>
                </c:pt>
                <c:pt idx="6">
                  <c:v>Wednesday</c:v>
                </c:pt>
              </c:strCache>
            </c:strRef>
          </c:cat>
          <c:val>
            <c:numRef>
              <c:f>Sheet7!$B$2:$B$8</c:f>
              <c:numCache>
                <c:formatCode>General</c:formatCode>
                <c:ptCount val="7"/>
                <c:pt idx="0">
                  <c:v>84</c:v>
                </c:pt>
                <c:pt idx="1">
                  <c:v>77</c:v>
                </c:pt>
                <c:pt idx="2">
                  <c:v>75</c:v>
                </c:pt>
                <c:pt idx="3">
                  <c:v>69</c:v>
                </c:pt>
                <c:pt idx="4">
                  <c:v>69</c:v>
                </c:pt>
                <c:pt idx="5">
                  <c:v>64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53-46CF-86DA-AA6BF936A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607165192"/>
        <c:axId val="607168432"/>
      </c:barChart>
      <c:catAx>
        <c:axId val="607165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68432"/>
        <c:crosses val="autoZero"/>
        <c:auto val="1"/>
        <c:lblAlgn val="ctr"/>
        <c:lblOffset val="100"/>
        <c:noMultiLvlLbl val="0"/>
      </c:catAx>
      <c:valAx>
        <c:axId val="60716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65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[ExcelAurora Retail Sales Analysis.xlsx]Sheet3!PivotTable18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contribution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2-454D-ABE9-39A30F41AB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E22-454D-ABE9-39A30F41ABCF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22-454D-ABE9-39A30F41ABCF}"/>
              </c:ext>
            </c:extLst>
          </c:dPt>
          <c:dPt>
            <c:idx val="3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22-454D-ABE9-39A30F41ABCF}"/>
              </c:ext>
            </c:extLst>
          </c:dPt>
          <c:dPt>
            <c:idx val="4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E22-454D-ABE9-39A30F41AB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Sheet3!$A$4:$A$8</c:f>
              <c:strCache>
                <c:ptCount val="5"/>
                <c:pt idx="0">
                  <c:v>Not Provided</c:v>
                </c:pt>
                <c:pt idx="1">
                  <c:v>Lagos</c:v>
                </c:pt>
                <c:pt idx="2">
                  <c:v>Spain</c:v>
                </c:pt>
                <c:pt idx="3">
                  <c:v>India</c:v>
                </c:pt>
                <c:pt idx="4">
                  <c:v>South Africa</c:v>
                </c:pt>
              </c:strCache>
            </c:strRef>
          </c:cat>
          <c:val>
            <c:numRef>
              <c:f>Sheet3!$B$4:$B$8</c:f>
              <c:numCache>
                <c:formatCode>_("$"* #,##0.00_);_("$"* \(#,##0.00\);_("$"* "-"??_);_(@_)</c:formatCode>
                <c:ptCount val="5"/>
                <c:pt idx="0">
                  <c:v>1086618.4101989162</c:v>
                </c:pt>
                <c:pt idx="1">
                  <c:v>601615.17119205149</c:v>
                </c:pt>
                <c:pt idx="2">
                  <c:v>468878.5825169172</c:v>
                </c:pt>
                <c:pt idx="3">
                  <c:v>329239.74632370134</c:v>
                </c:pt>
                <c:pt idx="4">
                  <c:v>322588.35806817986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2-454D-ABE9-39A30F41AB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3.xml"/><Relationship Id="rId7" Type="http://schemas.openxmlformats.org/officeDocument/2006/relationships/chart" Target="../charts/chart16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image" Target="../media/image1.png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5</xdr:row>
      <xdr:rowOff>185737</xdr:rowOff>
    </xdr:from>
    <xdr:to>
      <xdr:col>14</xdr:col>
      <xdr:colOff>533400</xdr:colOff>
      <xdr:row>20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2D3569-C933-DA7E-30DE-DD202E297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8</xdr:row>
      <xdr:rowOff>90487</xdr:rowOff>
    </xdr:from>
    <xdr:to>
      <xdr:col>12</xdr:col>
      <xdr:colOff>104775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9D1B4-CBB6-EA4A-AA98-FDE64D9FC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16</xdr:row>
      <xdr:rowOff>147637</xdr:rowOff>
    </xdr:from>
    <xdr:to>
      <xdr:col>14</xdr:col>
      <xdr:colOff>28575</xdr:colOff>
      <xdr:row>31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F40B6E-31EC-D81E-2C1C-F597CD1F7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228600</xdr:colOff>
      <xdr:row>3</xdr:row>
      <xdr:rowOff>104775</xdr:rowOff>
    </xdr:from>
    <xdr:to>
      <xdr:col>21</xdr:col>
      <xdr:colOff>533400</xdr:colOff>
      <xdr:row>17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5FFC5B-4133-4CD8-8E65-528A44E69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85725</xdr:colOff>
      <xdr:row>1</xdr:row>
      <xdr:rowOff>114300</xdr:rowOff>
    </xdr:from>
    <xdr:to>
      <xdr:col>10</xdr:col>
      <xdr:colOff>390525</xdr:colOff>
      <xdr:row>16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A08D44-5CE9-4D78-8FB0-0B45236DE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6</xdr:row>
      <xdr:rowOff>0</xdr:rowOff>
    </xdr:from>
    <xdr:to>
      <xdr:col>31</xdr:col>
      <xdr:colOff>304800</xdr:colOff>
      <xdr:row>20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98783E-4163-48BB-B48F-7FD469D7F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20</xdr:row>
      <xdr:rowOff>0</xdr:rowOff>
    </xdr:from>
    <xdr:to>
      <xdr:col>22</xdr:col>
      <xdr:colOff>321468</xdr:colOff>
      <xdr:row>34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7E8F13-DBF1-4C36-A4A6-5CA7DA543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559595</xdr:colOff>
      <xdr:row>34</xdr:row>
      <xdr:rowOff>71438</xdr:rowOff>
    </xdr:from>
    <xdr:to>
      <xdr:col>8</xdr:col>
      <xdr:colOff>333376</xdr:colOff>
      <xdr:row>48</xdr:row>
      <xdr:rowOff>147638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9341BA-AAD1-4382-A5DC-0605C2053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</xdr:row>
      <xdr:rowOff>83344</xdr:rowOff>
    </xdr:from>
    <xdr:to>
      <xdr:col>6</xdr:col>
      <xdr:colOff>214312</xdr:colOff>
      <xdr:row>32</xdr:row>
      <xdr:rowOff>159544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04775E-EAD7-4EE4-9958-1E2DEEF2B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464344</xdr:colOff>
      <xdr:row>20</xdr:row>
      <xdr:rowOff>107156</xdr:rowOff>
    </xdr:from>
    <xdr:to>
      <xdr:col>31</xdr:col>
      <xdr:colOff>282349</xdr:colOff>
      <xdr:row>35</xdr:row>
      <xdr:rowOff>25513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67F4B5-EE48-4A3D-928C-363616799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</xdr:row>
      <xdr:rowOff>180974</xdr:rowOff>
    </xdr:from>
    <xdr:to>
      <xdr:col>4</xdr:col>
      <xdr:colOff>326571</xdr:colOff>
      <xdr:row>37</xdr:row>
      <xdr:rowOff>27213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C8C1B21-434A-AC3F-7570-FC12D28E505C}"/>
            </a:ext>
          </a:extLst>
        </xdr:cNvPr>
        <xdr:cNvSpPr/>
      </xdr:nvSpPr>
      <xdr:spPr>
        <a:xfrm>
          <a:off x="142875" y="561974"/>
          <a:ext cx="2632982" cy="6513739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299357</xdr:colOff>
      <xdr:row>1</xdr:row>
      <xdr:rowOff>19050</xdr:rowOff>
    </xdr:from>
    <xdr:to>
      <xdr:col>18</xdr:col>
      <xdr:colOff>352425</xdr:colOff>
      <xdr:row>3</xdr:row>
      <xdr:rowOff>66675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A1C4B53-1FE0-398A-16C6-653CBCCAFDDF}"/>
            </a:ext>
          </a:extLst>
        </xdr:cNvPr>
        <xdr:cNvSpPr/>
      </xdr:nvSpPr>
      <xdr:spPr>
        <a:xfrm>
          <a:off x="2748643" y="209550"/>
          <a:ext cx="8625568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408214</xdr:colOff>
      <xdr:row>1</xdr:row>
      <xdr:rowOff>19050</xdr:rowOff>
    </xdr:from>
    <xdr:to>
      <xdr:col>3</xdr:col>
      <xdr:colOff>532039</xdr:colOff>
      <xdr:row>2</xdr:row>
      <xdr:rowOff>142875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82FD69A-7B56-4AA6-A052-A8FFC99E4C5D}"/>
            </a:ext>
          </a:extLst>
        </xdr:cNvPr>
        <xdr:cNvSpPr/>
      </xdr:nvSpPr>
      <xdr:spPr>
        <a:xfrm>
          <a:off x="408214" y="209550"/>
          <a:ext cx="1960789" cy="314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103414</xdr:colOff>
      <xdr:row>3</xdr:row>
      <xdr:rowOff>168729</xdr:rowOff>
    </xdr:from>
    <xdr:to>
      <xdr:col>8</xdr:col>
      <xdr:colOff>394608</xdr:colOff>
      <xdr:row>8</xdr:row>
      <xdr:rowOff>25854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12F26E9-42FC-42BD-98E6-B8535633A5C6}"/>
            </a:ext>
          </a:extLst>
        </xdr:cNvPr>
        <xdr:cNvSpPr/>
      </xdr:nvSpPr>
      <xdr:spPr>
        <a:xfrm>
          <a:off x="3165021" y="740229"/>
          <a:ext cx="2128158" cy="8096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517071</xdr:colOff>
      <xdr:row>3</xdr:row>
      <xdr:rowOff>156482</xdr:rowOff>
    </xdr:from>
    <xdr:to>
      <xdr:col>12</xdr:col>
      <xdr:colOff>609601</xdr:colOff>
      <xdr:row>8</xdr:row>
      <xdr:rowOff>13607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82E77EE-023C-4AFB-BE08-87ECC00419D8}"/>
            </a:ext>
          </a:extLst>
        </xdr:cNvPr>
        <xdr:cNvSpPr/>
      </xdr:nvSpPr>
      <xdr:spPr>
        <a:xfrm>
          <a:off x="6027964" y="727982"/>
          <a:ext cx="1929494" cy="8096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204107</xdr:colOff>
      <xdr:row>3</xdr:row>
      <xdr:rowOff>170089</xdr:rowOff>
    </xdr:from>
    <xdr:to>
      <xdr:col>17</xdr:col>
      <xdr:colOff>489857</xdr:colOff>
      <xdr:row>8</xdr:row>
      <xdr:rowOff>27214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AF5D5A61-4458-41DB-8355-806159B20137}"/>
            </a:ext>
          </a:extLst>
        </xdr:cNvPr>
        <xdr:cNvSpPr/>
      </xdr:nvSpPr>
      <xdr:spPr>
        <a:xfrm>
          <a:off x="8776607" y="741589"/>
          <a:ext cx="2122714" cy="8096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474889</xdr:colOff>
      <xdr:row>0</xdr:row>
      <xdr:rowOff>182335</xdr:rowOff>
    </xdr:from>
    <xdr:to>
      <xdr:col>23</xdr:col>
      <xdr:colOff>551089</xdr:colOff>
      <xdr:row>37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3706B14-8B6B-4049-B327-51C0D1C6068A}"/>
            </a:ext>
          </a:extLst>
        </xdr:cNvPr>
        <xdr:cNvSpPr/>
      </xdr:nvSpPr>
      <xdr:spPr>
        <a:xfrm>
          <a:off x="11496675" y="182335"/>
          <a:ext cx="3137807" cy="686616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489857</xdr:colOff>
      <xdr:row>8</xdr:row>
      <xdr:rowOff>136073</xdr:rowOff>
    </xdr:from>
    <xdr:to>
      <xdr:col>18</xdr:col>
      <xdr:colOff>394606</xdr:colOff>
      <xdr:row>22</xdr:row>
      <xdr:rowOff>13608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2478935-CCE6-4A12-8AE4-32237AE18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449036</xdr:colOff>
      <xdr:row>22</xdr:row>
      <xdr:rowOff>54428</xdr:rowOff>
    </xdr:from>
    <xdr:to>
      <xdr:col>11</xdr:col>
      <xdr:colOff>421822</xdr:colOff>
      <xdr:row>36</xdr:row>
      <xdr:rowOff>130628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831A6AB-974D-4D73-8E4A-513CDCBDE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108858</xdr:colOff>
      <xdr:row>4</xdr:row>
      <xdr:rowOff>27215</xdr:rowOff>
    </xdr:from>
    <xdr:to>
      <xdr:col>4</xdr:col>
      <xdr:colOff>326572</xdr:colOff>
      <xdr:row>18</xdr:row>
      <xdr:rowOff>149679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80292B7-443E-416D-91F9-62B5DF564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122465</xdr:colOff>
      <xdr:row>20</xdr:row>
      <xdr:rowOff>27214</xdr:rowOff>
    </xdr:from>
    <xdr:to>
      <xdr:col>4</xdr:col>
      <xdr:colOff>231321</xdr:colOff>
      <xdr:row>35</xdr:row>
      <xdr:rowOff>95251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31B89C9-2D93-4C1E-A680-92B2F5BBF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190500</xdr:colOff>
      <xdr:row>1</xdr:row>
      <xdr:rowOff>68036</xdr:rowOff>
    </xdr:from>
    <xdr:to>
      <xdr:col>17</xdr:col>
      <xdr:colOff>163286</xdr:colOff>
      <xdr:row>3</xdr:row>
      <xdr:rowOff>149679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39AEB10-311F-B3CC-AD3F-0176D40F7090}"/>
            </a:ext>
          </a:extLst>
        </xdr:cNvPr>
        <xdr:cNvSpPr txBox="1"/>
      </xdr:nvSpPr>
      <xdr:spPr>
        <a:xfrm>
          <a:off x="4476750" y="258536"/>
          <a:ext cx="6096000" cy="462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>
              <a:solidFill>
                <a:schemeClr val="bg1"/>
              </a:solidFill>
              <a:effectLst/>
              <a:latin typeface="+mj-lt"/>
              <a:ea typeface="+mn-ea"/>
              <a:cs typeface="+mn-cs"/>
            </a:rPr>
            <a:t>AURORA RETAIL SOLUTIONS LTD</a:t>
          </a:r>
        </a:p>
        <a:p>
          <a:endParaRPr lang="en-US" sz="1100"/>
        </a:p>
      </xdr:txBody>
    </xdr:sp>
    <xdr:clientData/>
  </xdr:twoCellAnchor>
  <xdr:twoCellAnchor>
    <xdr:from>
      <xdr:col>4</xdr:col>
      <xdr:colOff>489857</xdr:colOff>
      <xdr:row>8</xdr:row>
      <xdr:rowOff>68036</xdr:rowOff>
    </xdr:from>
    <xdr:to>
      <xdr:col>12</xdr:col>
      <xdr:colOff>163286</xdr:colOff>
      <xdr:row>22</xdr:row>
      <xdr:rowOff>144236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06ACBF-1C82-4E26-BA74-B5801130A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217715</xdr:colOff>
      <xdr:row>4</xdr:row>
      <xdr:rowOff>1</xdr:rowOff>
    </xdr:from>
    <xdr:to>
      <xdr:col>18</xdr:col>
      <xdr:colOff>13608</xdr:colOff>
      <xdr:row>6</xdr:row>
      <xdr:rowOff>68036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3AFD1CE-695D-49C3-3923-17E2E77FF6A7}"/>
            </a:ext>
          </a:extLst>
        </xdr:cNvPr>
        <xdr:cNvSpPr txBox="1"/>
      </xdr:nvSpPr>
      <xdr:spPr>
        <a:xfrm>
          <a:off x="8790215" y="762001"/>
          <a:ext cx="2245179" cy="44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TOP</a:t>
          </a:r>
          <a:r>
            <a:rPr lang="en-US" sz="1400">
              <a:solidFill>
                <a:schemeClr val="bg1"/>
              </a:solidFill>
            </a:rPr>
            <a:t> </a:t>
          </a:r>
          <a:r>
            <a:rPr lang="en-US" sz="1400" b="1">
              <a:solidFill>
                <a:schemeClr val="bg1"/>
              </a:solidFill>
            </a:rPr>
            <a:t>SPENDING</a:t>
          </a:r>
          <a:r>
            <a:rPr lang="en-US" sz="1400">
              <a:solidFill>
                <a:schemeClr val="bg1"/>
              </a:solidFill>
            </a:rPr>
            <a:t> </a:t>
          </a:r>
          <a:r>
            <a:rPr lang="en-US" sz="1400" b="1">
              <a:solidFill>
                <a:schemeClr val="bg1"/>
              </a:solidFill>
            </a:rPr>
            <a:t>CUSTOMER</a:t>
          </a:r>
        </a:p>
      </xdr:txBody>
    </xdr:sp>
    <xdr:clientData/>
  </xdr:twoCellAnchor>
  <xdr:twoCellAnchor>
    <xdr:from>
      <xdr:col>10</xdr:col>
      <xdr:colOff>190502</xdr:colOff>
      <xdr:row>3</xdr:row>
      <xdr:rowOff>136072</xdr:rowOff>
    </xdr:from>
    <xdr:to>
      <xdr:col>13</xdr:col>
      <xdr:colOff>217715</xdr:colOff>
      <xdr:row>6</xdr:row>
      <xdr:rowOff>149679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A80D33-92D2-F8AB-4D1E-EECF9EC37F35}"/>
            </a:ext>
          </a:extLst>
        </xdr:cNvPr>
        <xdr:cNvSpPr txBox="1"/>
      </xdr:nvSpPr>
      <xdr:spPr>
        <a:xfrm>
          <a:off x="6313716" y="707572"/>
          <a:ext cx="1864178" cy="585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TOTAL REVENUE</a:t>
          </a:r>
        </a:p>
        <a:p>
          <a:r>
            <a:rPr lang="en-US" sz="1400" i="1">
              <a:solidFill>
                <a:schemeClr val="bg1"/>
              </a:solidFill>
            </a:rPr>
            <a:t>(Specified</a:t>
          </a:r>
          <a:r>
            <a:rPr lang="en-US" sz="1400" i="1" baseline="0">
              <a:solidFill>
                <a:schemeClr val="bg1"/>
              </a:solidFill>
            </a:rPr>
            <a:t> location)</a:t>
          </a:r>
          <a:endParaRPr lang="en-US" sz="1400" i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312964</xdr:colOff>
      <xdr:row>4</xdr:row>
      <xdr:rowOff>1</xdr:rowOff>
    </xdr:from>
    <xdr:to>
      <xdr:col>9</xdr:col>
      <xdr:colOff>244928</xdr:colOff>
      <xdr:row>7</xdr:row>
      <xdr:rowOff>68037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6D6DD1A-9ECE-B637-7320-002064CA7976}"/>
            </a:ext>
          </a:extLst>
        </xdr:cNvPr>
        <xdr:cNvSpPr txBox="1"/>
      </xdr:nvSpPr>
      <xdr:spPr>
        <a:xfrm>
          <a:off x="3374571" y="762001"/>
          <a:ext cx="2381250" cy="639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TOTAL</a:t>
          </a:r>
          <a:r>
            <a:rPr lang="en-US" sz="1400">
              <a:solidFill>
                <a:schemeClr val="bg1"/>
              </a:solidFill>
            </a:rPr>
            <a:t> </a:t>
          </a:r>
          <a:r>
            <a:rPr lang="en-US" sz="1400" b="1">
              <a:solidFill>
                <a:schemeClr val="bg1"/>
              </a:solidFill>
            </a:rPr>
            <a:t>CUSTOMMERS</a:t>
          </a:r>
        </a:p>
      </xdr:txBody>
    </xdr:sp>
    <xdr:clientData/>
  </xdr:twoCellAnchor>
  <xdr:twoCellAnchor>
    <xdr:from>
      <xdr:col>10</xdr:col>
      <xdr:colOff>68036</xdr:colOff>
      <xdr:row>6</xdr:row>
      <xdr:rowOff>27214</xdr:rowOff>
    </xdr:from>
    <xdr:to>
      <xdr:col>14</xdr:col>
      <xdr:colOff>272143</xdr:colOff>
      <xdr:row>8</xdr:row>
      <xdr:rowOff>81643</xdr:rowOff>
    </xdr:to>
    <xdr:sp macro="" textlink="'Analysis Sheet'!C7">
      <xdr:nvSpPr>
        <xdr:cNvPr id="10" name="TextBox 9">
          <a:extLst>
            <a:ext uri="{FF2B5EF4-FFF2-40B4-BE49-F238E27FC236}">
              <a16:creationId xmlns:a16="http://schemas.microsoft.com/office/drawing/2014/main" id="{E776BFFE-CC15-23A2-4B8C-80611ECB689E}"/>
            </a:ext>
          </a:extLst>
        </xdr:cNvPr>
        <xdr:cNvSpPr txBox="1"/>
      </xdr:nvSpPr>
      <xdr:spPr>
        <a:xfrm>
          <a:off x="6191250" y="1170214"/>
          <a:ext cx="2653393" cy="435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748A9EA-8B34-46C1-9036-447A213FDF28}" type="TxLink">
            <a:rPr lang="en-US" sz="1800" b="1" i="0" u="none" strike="noStrike">
              <a:solidFill>
                <a:schemeClr val="bg1"/>
              </a:solidFill>
              <a:latin typeface="Aptos Narrow"/>
            </a:rPr>
            <a:pPr/>
            <a:t> $1,722,321.86 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503465</xdr:colOff>
      <xdr:row>5</xdr:row>
      <xdr:rowOff>149677</xdr:rowOff>
    </xdr:from>
    <xdr:to>
      <xdr:col>17</xdr:col>
      <xdr:colOff>231322</xdr:colOff>
      <xdr:row>8</xdr:row>
      <xdr:rowOff>40820</xdr:rowOff>
    </xdr:to>
    <xdr:sp macro="" textlink="KPIS!I6">
      <xdr:nvSpPr>
        <xdr:cNvPr id="14" name="TextBox 13">
          <a:extLst>
            <a:ext uri="{FF2B5EF4-FFF2-40B4-BE49-F238E27FC236}">
              <a16:creationId xmlns:a16="http://schemas.microsoft.com/office/drawing/2014/main" id="{3AB31371-E193-A0EC-DBB7-A640F701DBD8}"/>
            </a:ext>
          </a:extLst>
        </xdr:cNvPr>
        <xdr:cNvSpPr txBox="1"/>
      </xdr:nvSpPr>
      <xdr:spPr>
        <a:xfrm>
          <a:off x="9075965" y="1102177"/>
          <a:ext cx="1564821" cy="462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335A04A-D190-4223-85C7-CDEC9C9BD9B9}" type="TxLink">
            <a:rPr lang="en-US" sz="1800" b="1" i="0" u="none" strike="noStrike">
              <a:solidFill>
                <a:schemeClr val="bg1"/>
              </a:solidFill>
              <a:latin typeface="Aptos Narrow"/>
            </a:rPr>
            <a:pPr/>
            <a:t>Orge Sullivan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190500</xdr:colOff>
      <xdr:row>6</xdr:row>
      <xdr:rowOff>13608</xdr:rowOff>
    </xdr:from>
    <xdr:to>
      <xdr:col>8</xdr:col>
      <xdr:colOff>13608</xdr:colOff>
      <xdr:row>8</xdr:row>
      <xdr:rowOff>108858</xdr:rowOff>
    </xdr:to>
    <xdr:sp macro="" textlink="'Analysis Sheet'!B7">
      <xdr:nvSpPr>
        <xdr:cNvPr id="15" name="TextBox 14">
          <a:extLst>
            <a:ext uri="{FF2B5EF4-FFF2-40B4-BE49-F238E27FC236}">
              <a16:creationId xmlns:a16="http://schemas.microsoft.com/office/drawing/2014/main" id="{7105AABA-6FF5-9801-C6FE-4FA35622F014}"/>
            </a:ext>
          </a:extLst>
        </xdr:cNvPr>
        <xdr:cNvSpPr txBox="1"/>
      </xdr:nvSpPr>
      <xdr:spPr>
        <a:xfrm>
          <a:off x="3864429" y="1156608"/>
          <a:ext cx="104775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485C1E-48A2-4D83-AE2D-FC65D6DC5649}" type="TxLink">
            <a:rPr lang="en-US" sz="1800" b="1" i="0" u="none" strike="noStrike">
              <a:solidFill>
                <a:schemeClr val="bg1"/>
              </a:solidFill>
              <a:latin typeface="Aptos Narrow"/>
            </a:rPr>
            <a:pPr/>
            <a:t>299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462644</xdr:colOff>
      <xdr:row>4</xdr:row>
      <xdr:rowOff>176894</xdr:rowOff>
    </xdr:from>
    <xdr:to>
      <xdr:col>10</xdr:col>
      <xdr:colOff>231322</xdr:colOff>
      <xdr:row>6</xdr:row>
      <xdr:rowOff>68036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8EFF24E-4195-D8FE-1979-F30AB20D599D}"/>
            </a:ext>
          </a:extLst>
        </xdr:cNvPr>
        <xdr:cNvSpPr txBox="1"/>
      </xdr:nvSpPr>
      <xdr:spPr>
        <a:xfrm>
          <a:off x="3524251" y="938894"/>
          <a:ext cx="2830285" cy="272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/>
              </a:solidFill>
            </a:rPr>
            <a:t>with specified location</a:t>
          </a:r>
        </a:p>
      </xdr:txBody>
    </xdr:sp>
    <xdr:clientData/>
  </xdr:twoCellAnchor>
  <xdr:twoCellAnchor>
    <xdr:from>
      <xdr:col>20</xdr:col>
      <xdr:colOff>95250</xdr:colOff>
      <xdr:row>1</xdr:row>
      <xdr:rowOff>54429</xdr:rowOff>
    </xdr:from>
    <xdr:to>
      <xdr:col>24</xdr:col>
      <xdr:colOff>530679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E5E71D-F6B7-B209-7191-9F6BCD143702}"/>
            </a:ext>
          </a:extLst>
        </xdr:cNvPr>
        <xdr:cNvSpPr txBox="1"/>
      </xdr:nvSpPr>
      <xdr:spPr>
        <a:xfrm>
          <a:off x="12341679" y="244929"/>
          <a:ext cx="2884714" cy="326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435429</xdr:colOff>
      <xdr:row>16</xdr:row>
      <xdr:rowOff>149678</xdr:rowOff>
    </xdr:from>
    <xdr:to>
      <xdr:col>23</xdr:col>
      <xdr:colOff>544286</xdr:colOff>
      <xdr:row>24</xdr:row>
      <xdr:rowOff>136071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0AA37F5-338A-0BEA-386B-04E92ABE312A}"/>
            </a:ext>
          </a:extLst>
        </xdr:cNvPr>
        <xdr:cNvSpPr txBox="1"/>
      </xdr:nvSpPr>
      <xdr:spPr>
        <a:xfrm>
          <a:off x="11457215" y="3197678"/>
          <a:ext cx="3170464" cy="1510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r>
            <a:rPr lang="en-US" sz="1100" baseline="0"/>
            <a:t>. </a:t>
          </a:r>
          <a:r>
            <a:rPr lang="en-US"/>
            <a:t>Lagos contributes </a:t>
          </a:r>
          <a:r>
            <a:rPr lang="en-US" b="1"/>
            <a:t>$601k</a:t>
          </a:r>
          <a:r>
            <a:rPr lang="en-US"/>
            <a:t> in revenue (35% of known location sales) and holds the highest customer volume (91 customers).</a:t>
          </a:r>
        </a:p>
        <a:p>
          <a:r>
            <a:rPr lang="en-US" sz="1100"/>
            <a:t>2. </a:t>
          </a:r>
          <a:r>
            <a:rPr lang="en-US"/>
            <a:t>Spending is balanced. Men contribute slightly more revenue ($1.49M) than Women ($1.31M), but engagement is high across both.</a:t>
          </a:r>
        </a:p>
        <a:p>
          <a:r>
            <a:rPr lang="en-US" sz="1100"/>
            <a:t>3. </a:t>
          </a:r>
          <a:r>
            <a:rPr lang="en-US" b="1"/>
            <a:t>Fridays</a:t>
          </a:r>
          <a:r>
            <a:rPr lang="en-US"/>
            <a:t> are the busiest day (84 transactions), making it the critical operational window.</a:t>
          </a:r>
        </a:p>
        <a:p>
          <a:endParaRPr lang="en-US" sz="1100"/>
        </a:p>
      </xdr:txBody>
    </xdr:sp>
    <xdr:clientData/>
  </xdr:twoCellAnchor>
  <xdr:twoCellAnchor>
    <xdr:from>
      <xdr:col>18</xdr:col>
      <xdr:colOff>476250</xdr:colOff>
      <xdr:row>14</xdr:row>
      <xdr:rowOff>149677</xdr:rowOff>
    </xdr:from>
    <xdr:to>
      <xdr:col>23</xdr:col>
      <xdr:colOff>557892</xdr:colOff>
      <xdr:row>16</xdr:row>
      <xdr:rowOff>108856</xdr:rowOff>
    </xdr:to>
    <xdr:sp macro="" textlink="">
      <xdr:nvSpPr>
        <xdr:cNvPr id="26" name="Rectangle: Diagonal Corners Rounded 25">
          <a:extLst>
            <a:ext uri="{FF2B5EF4-FFF2-40B4-BE49-F238E27FC236}">
              <a16:creationId xmlns:a16="http://schemas.microsoft.com/office/drawing/2014/main" id="{CE3C23EB-B004-611D-32B4-FEA05C0F4202}"/>
            </a:ext>
          </a:extLst>
        </xdr:cNvPr>
        <xdr:cNvSpPr/>
      </xdr:nvSpPr>
      <xdr:spPr>
        <a:xfrm>
          <a:off x="11498036" y="2816677"/>
          <a:ext cx="3143249" cy="340179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244928</xdr:colOff>
      <xdr:row>14</xdr:row>
      <xdr:rowOff>95250</xdr:rowOff>
    </xdr:from>
    <xdr:to>
      <xdr:col>22</xdr:col>
      <xdr:colOff>233495</xdr:colOff>
      <xdr:row>17</xdr:row>
      <xdr:rowOff>29762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5010D0D-1C54-F887-A730-16EC98100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91357" y="2762250"/>
          <a:ext cx="1213209" cy="506012"/>
        </a:xfrm>
        <a:prstGeom prst="rect">
          <a:avLst/>
        </a:prstGeom>
      </xdr:spPr>
    </xdr:pic>
    <xdr:clientData/>
  </xdr:twoCellAnchor>
  <xdr:twoCellAnchor>
    <xdr:from>
      <xdr:col>18</xdr:col>
      <xdr:colOff>476250</xdr:colOff>
      <xdr:row>24</xdr:row>
      <xdr:rowOff>108857</xdr:rowOff>
    </xdr:from>
    <xdr:to>
      <xdr:col>23</xdr:col>
      <xdr:colOff>557892</xdr:colOff>
      <xdr:row>26</xdr:row>
      <xdr:rowOff>40820</xdr:rowOff>
    </xdr:to>
    <xdr:sp macro="" textlink="">
      <xdr:nvSpPr>
        <xdr:cNvPr id="29" name="Rectangle: Diagonal Corners Rounded 28">
          <a:extLst>
            <a:ext uri="{FF2B5EF4-FFF2-40B4-BE49-F238E27FC236}">
              <a16:creationId xmlns:a16="http://schemas.microsoft.com/office/drawing/2014/main" id="{B4C5C54B-7A36-4980-9A69-DF17B76419E0}"/>
            </a:ext>
          </a:extLst>
        </xdr:cNvPr>
        <xdr:cNvSpPr/>
      </xdr:nvSpPr>
      <xdr:spPr>
        <a:xfrm>
          <a:off x="11498036" y="4680857"/>
          <a:ext cx="3143249" cy="312963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503465</xdr:colOff>
      <xdr:row>24</xdr:row>
      <xdr:rowOff>122464</xdr:rowOff>
    </xdr:from>
    <xdr:to>
      <xdr:col>23</xdr:col>
      <xdr:colOff>136072</xdr:colOff>
      <xdr:row>30</xdr:row>
      <xdr:rowOff>122464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CFC6F88-4834-8C5E-62F0-15E092916A8D}"/>
            </a:ext>
          </a:extLst>
        </xdr:cNvPr>
        <xdr:cNvSpPr txBox="1"/>
      </xdr:nvSpPr>
      <xdr:spPr>
        <a:xfrm>
          <a:off x="12137572" y="4694464"/>
          <a:ext cx="2081893" cy="1143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solidFill>
                <a:schemeClr val="bg1"/>
              </a:solidFill>
            </a:rPr>
            <a:t>RECOMMENDATION</a:t>
          </a:r>
        </a:p>
      </xdr:txBody>
    </xdr:sp>
    <xdr:clientData/>
  </xdr:twoCellAnchor>
  <xdr:twoCellAnchor>
    <xdr:from>
      <xdr:col>18</xdr:col>
      <xdr:colOff>506186</xdr:colOff>
      <xdr:row>26</xdr:row>
      <xdr:rowOff>84362</xdr:rowOff>
    </xdr:from>
    <xdr:to>
      <xdr:col>23</xdr:col>
      <xdr:colOff>557893</xdr:colOff>
      <xdr:row>37</xdr:row>
      <xdr:rowOff>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F2310F7-84F6-4D28-AA0E-12B9695DCA35}"/>
            </a:ext>
          </a:extLst>
        </xdr:cNvPr>
        <xdr:cNvSpPr txBox="1"/>
      </xdr:nvSpPr>
      <xdr:spPr>
        <a:xfrm>
          <a:off x="11527972" y="5037362"/>
          <a:ext cx="3113314" cy="2011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</a:t>
          </a:r>
          <a:r>
            <a:rPr lang="en-US"/>
            <a:t>Shift ad spend to target single demographics with premium/higher-ticket items, as they have shown higher willingness to pay.</a:t>
          </a:r>
        </a:p>
        <a:p>
          <a:r>
            <a:rPr lang="en-US"/>
            <a:t>2. </a:t>
          </a:r>
          <a:r>
            <a:rPr lang="en-US" b="1"/>
            <a:t>38% of transactions</a:t>
          </a:r>
          <a:r>
            <a:rPr lang="en-US"/>
            <a:t> (Revenue: $1.08M) have </a:t>
          </a:r>
          <a:r>
            <a:rPr lang="en-US" b="1"/>
            <a:t>"Not Provided"</a:t>
          </a:r>
          <a:r>
            <a:rPr lang="en-US"/>
            <a:t> locations. This is your largest "region." </a:t>
          </a:r>
          <a:r>
            <a:rPr lang="en-US" b="1"/>
            <a:t>Action:</a:t>
          </a:r>
          <a:r>
            <a:rPr lang="en-US"/>
            <a:t> Make "Location" a mandatory field at checkout immediately.</a:t>
          </a:r>
        </a:p>
        <a:p>
          <a:r>
            <a:rPr lang="en-US"/>
            <a:t>3. Conduct a stock and systems audit for Nov-Dec to ensure sales aren't being lost or under-reported during the holiday season.</a:t>
          </a:r>
        </a:p>
        <a:p>
          <a:endParaRPr lang="en-US" sz="1100"/>
        </a:p>
      </xdr:txBody>
    </xdr:sp>
    <xdr:clientData/>
  </xdr:twoCellAnchor>
  <xdr:twoCellAnchor>
    <xdr:from>
      <xdr:col>18</xdr:col>
      <xdr:colOff>449035</xdr:colOff>
      <xdr:row>1</xdr:row>
      <xdr:rowOff>27214</xdr:rowOff>
    </xdr:from>
    <xdr:to>
      <xdr:col>23</xdr:col>
      <xdr:colOff>530677</xdr:colOff>
      <xdr:row>3</xdr:row>
      <xdr:rowOff>136071</xdr:rowOff>
    </xdr:to>
    <xdr:sp macro="" textlink="">
      <xdr:nvSpPr>
        <xdr:cNvPr id="36" name="Rectangle: Diagonal Corners Rounded 35">
          <a:extLst>
            <a:ext uri="{FF2B5EF4-FFF2-40B4-BE49-F238E27FC236}">
              <a16:creationId xmlns:a16="http://schemas.microsoft.com/office/drawing/2014/main" id="{F167FEC1-464C-4C5D-8EA3-98A80ABE10B2}"/>
            </a:ext>
          </a:extLst>
        </xdr:cNvPr>
        <xdr:cNvSpPr/>
      </xdr:nvSpPr>
      <xdr:spPr>
        <a:xfrm>
          <a:off x="11470821" y="217714"/>
          <a:ext cx="3143249" cy="489857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435429</xdr:colOff>
      <xdr:row>0</xdr:row>
      <xdr:rowOff>176893</xdr:rowOff>
    </xdr:from>
    <xdr:to>
      <xdr:col>24</xdr:col>
      <xdr:colOff>0</xdr:colOff>
      <xdr:row>15</xdr:row>
      <xdr:rowOff>13607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CB53370B-691A-48D3-83D7-3F62D2509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394606</xdr:colOff>
      <xdr:row>1</xdr:row>
      <xdr:rowOff>13608</xdr:rowOff>
    </xdr:from>
    <xdr:to>
      <xdr:col>3</xdr:col>
      <xdr:colOff>517072</xdr:colOff>
      <xdr:row>2</xdr:row>
      <xdr:rowOff>149680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D6532F7-8416-01B2-4037-47BEDA000489}"/>
            </a:ext>
          </a:extLst>
        </xdr:cNvPr>
        <xdr:cNvSpPr txBox="1"/>
      </xdr:nvSpPr>
      <xdr:spPr>
        <a:xfrm>
          <a:off x="394606" y="204108"/>
          <a:ext cx="1959430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Emmanuel</a:t>
          </a:r>
          <a:r>
            <a:rPr lang="en-US" sz="1400" b="1" baseline="0">
              <a:solidFill>
                <a:schemeClr val="bg1"/>
              </a:solidFill>
            </a:rPr>
            <a:t> Ayodele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476249</xdr:colOff>
      <xdr:row>22</xdr:row>
      <xdr:rowOff>40822</xdr:rowOff>
    </xdr:from>
    <xdr:to>
      <xdr:col>18</xdr:col>
      <xdr:colOff>462642</xdr:colOff>
      <xdr:row>36</xdr:row>
      <xdr:rowOff>117022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EAA2E9F8-832C-44FE-8596-DD8AE4E75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361950</xdr:colOff>
      <xdr:row>0</xdr:row>
      <xdr:rowOff>52387</xdr:rowOff>
    </xdr:from>
    <xdr:to>
      <xdr:col>23</xdr:col>
      <xdr:colOff>57150</xdr:colOff>
      <xdr:row>14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CD436E-C2A5-9ADD-D5C9-ED52DA6F0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5.562526620372" createdVersion="8" refreshedVersion="8" minRefreshableVersion="3" recordCount="481" xr:uid="{DE08435D-1658-461E-8124-38AD8A14C81F}">
  <cacheSource type="worksheet">
    <worksheetSource ref="A1:B482" sheet="Sheet1"/>
  </cacheSource>
  <cacheFields count="2">
    <cacheField name="Location" numFmtId="0">
      <sharedItems count="5">
        <s v="Lagos"/>
        <s v="Not Provided"/>
        <s v="Spain"/>
        <s v="India"/>
        <s v="South Africa"/>
      </sharedItems>
    </cacheField>
    <cacheField name="Amount" numFmtId="165">
      <sharedItems containsString="0" containsBlank="1" containsNumber="1" minValue="4.7349788780394197" maxValue="12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7.166108564816" createdVersion="8" refreshedVersion="8" minRefreshableVersion="3" recordCount="481" xr:uid="{A3D15B38-B327-41BB-8591-B2A71B208BC3}">
  <cacheSource type="worksheet">
    <worksheetSource ref="A1:B482" sheet="Sheet1"/>
  </cacheSource>
  <cacheFields count="2">
    <cacheField name="Location" numFmtId="0">
      <sharedItems count="5">
        <s v="Lagos"/>
        <s v="Not Provided"/>
        <s v="Spain"/>
        <s v="India"/>
        <s v="South Africa"/>
      </sharedItems>
    </cacheField>
    <cacheField name="Amount" numFmtId="165">
      <sharedItems containsString="0" containsBlank="1" containsNumber="1" minValue="4.7349788780394197" maxValue="12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7.171723032407" createdVersion="8" refreshedVersion="8" minRefreshableVersion="3" recordCount="481" xr:uid="{EFAAC48D-44BA-4E3A-8C52-CD472BAF5BE6}">
  <cacheSource type="worksheet">
    <worksheetSource ref="A1:B482" sheet="Sheet1"/>
  </cacheSource>
  <cacheFields count="2">
    <cacheField name="Location" numFmtId="0">
      <sharedItems count="5">
        <s v="Lagos"/>
        <s v="Not Provided"/>
        <s v="Spain"/>
        <s v="India"/>
        <s v="South Africa"/>
      </sharedItems>
    </cacheField>
    <cacheField name="Amount" numFmtId="165">
      <sharedItems containsString="0" containsBlank="1" containsNumber="1" minValue="4.7349788780394197" maxValue="12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8.842612152781" createdVersion="8" refreshedVersion="8" minRefreshableVersion="3" recordCount="481" xr:uid="{7D19DF5C-AB7B-46F2-9210-4F11FFC7563A}">
  <cacheSource type="worksheet">
    <worksheetSource name="Table1"/>
  </cacheSource>
  <cacheFields count="2">
    <cacheField name="Name" numFmtId="0">
      <sharedItems count="453">
        <s v="Orge Sullivan"/>
        <s v="Holly Hall"/>
        <s v="Vanessa Fuentes"/>
        <s v="Sarah Sanchez"/>
        <s v="Kathleen Marsh"/>
        <s v="Jason David"/>
        <s v="Keith Matthews"/>
        <s v="Richard Johnson"/>
        <s v="Katie Mays"/>
        <s v="Colleen Chapman"/>
        <s v="Jeremy Wilson"/>
        <s v="Danielle Mckinney"/>
        <s v="Jennifer Silva"/>
        <s v="Desiree Landry"/>
        <s v="Scott Beard"/>
        <s v="Robert Martinez"/>
        <s v="Charles Ryan"/>
        <s v="Erica Hall"/>
        <s v="Nancy Roach"/>
        <s v="Victoria Dudley"/>
        <s v="Kimberly Schultz"/>
        <s v="Tina Curtis"/>
        <s v="Heather Marks"/>
        <s v="Jean Bowen"/>
        <s v="Christy Ferguson"/>
        <s v="Brent Jackson"/>
        <s v="Krystal Miles"/>
        <s v="Jennifer Kennedy"/>
        <s v="Victor Brown"/>
        <s v="Kimberly Brown"/>
        <s v="Brittany Frank"/>
        <s v="Crystal Martinez"/>
        <s v="Bryan Harrell"/>
        <s v="Vicki Holder"/>
        <s v="Robin Fernandez"/>
        <s v="John Zimmerman"/>
        <s v="Lisa Jimenez"/>
        <s v="Jason Harrington"/>
        <s v="Elizabeth Evans"/>
        <s v="Margaret Chapman"/>
        <s v="Jill Hudson"/>
        <s v="Caitlyn Maxwell"/>
        <s v="Megan Brown"/>
        <s v="Thomas Morris"/>
        <s v="Joshua Oconnor"/>
        <s v="Nicholas White"/>
        <s v="Jeremy Wood"/>
        <s v="Michelle Stevens"/>
        <s v="Nicole Armstrong"/>
        <s v="Vanessa Mejia"/>
        <s v="Tonya Garcia"/>
        <s v="Samantha Miller"/>
        <s v="Danny Morris"/>
        <s v="Jennifer Myers"/>
        <s v="Laurie Washington"/>
        <s v="Olivia Hall"/>
        <s v="Michelle Brown"/>
        <s v="Veronica Mcdaniel"/>
        <s v="Stephanie Rivera"/>
        <s v="Kimberly Hernandez"/>
        <s v="Adrian Fischer"/>
        <s v="Rebecca Wilson"/>
        <s v="Jonathan Vasquez"/>
        <s v="David Lutz"/>
        <s v="Donna Vasquez"/>
        <s v="Teresa Daugherty"/>
        <s v="Timothy Nicholson"/>
        <s v="Sydney Sullivan"/>
        <s v="Teresa Callahan"/>
        <s v="Michael Reed"/>
        <s v="Melissa Barnes"/>
        <s v="Paul Gonzalez"/>
        <s v="Shawn Thomas"/>
        <s v="Austin Cameron"/>
        <s v="Dustin Fitzgerald"/>
        <s v="Michael Jimenez"/>
        <s v="Charles Gibson"/>
        <s v="Joshua Perry"/>
        <s v="Stephen Mcconnell"/>
        <s v="Jay Christensen"/>
        <s v="Michael Ellis"/>
        <s v="Ashlee Miller"/>
        <s v="Michelle Wallace"/>
        <s v="Dillon Ryan"/>
        <s v="Robert Moore"/>
        <s v="Sean Bowen"/>
        <s v="Dana Strong"/>
        <s v="Rebecca Howard"/>
        <s v="Janice Robinson"/>
        <s v="Debra Craig"/>
        <s v="Mario Moore"/>
        <s v="Jason Williams"/>
        <s v="Sarah Kennedy"/>
        <s v="Kenneth Lloyd"/>
        <s v="Michael Grant"/>
        <s v="Michelle Munoz"/>
        <s v="Keith Parker"/>
        <s v="Samantha Boyer"/>
        <s v="Robert Thomas"/>
        <s v="Corey Burns"/>
        <s v="Charles Werner"/>
        <s v="Nancy Johnson"/>
        <s v="Amy Gray"/>
        <s v="Carla Garrett"/>
        <s v="Renee Hernandez"/>
        <s v="Michael Velasquez"/>
        <s v="Beverly Young"/>
        <s v="Debbie Rodriguez"/>
        <s v="Eddie Owens"/>
        <s v="Alicia Cole"/>
        <s v="Samantha Smith"/>
        <s v="John Villegas"/>
        <s v="Alexandra Williamson"/>
        <s v="Kaitlin Douglas"/>
        <s v="Crystal Frank"/>
        <s v="Luke Larsen"/>
        <s v="Colleen Hall"/>
        <s v="Mary Davis"/>
        <s v="Todd Mcintyre"/>
        <s v="Sarah Ryan"/>
        <s v="William Johnson"/>
        <s v="Brandon Sanders"/>
        <s v="Daniel Martin"/>
        <s v="Taylor Anderson"/>
        <s v="Melissa Mitchell"/>
        <s v="Hector Bowen"/>
        <s v="Carla Grant"/>
        <s v="Chelsea Robinson"/>
        <s v="Brenda Fernandez"/>
        <s v="Ryan Adams"/>
        <s v="Melissa Flynn"/>
        <s v="Jerry Perry"/>
        <s v="Brandy Hill"/>
        <s v="Andrew Butler"/>
        <s v="Carl Hall"/>
        <s v="Katie Mullins"/>
        <s v="James Wood"/>
        <s v="Melissa Tate"/>
        <s v="Katie Hutchinson"/>
        <s v="Steven Wiley"/>
        <s v="Peter Long"/>
        <s v="Katherine Simmons"/>
        <s v="Albert Oconnor"/>
        <s v="Alyssa Hill"/>
        <s v="Leslie Spencer"/>
        <s v="Joan Atkins"/>
        <s v="Jennifer Marshall"/>
        <s v="Stephanie Brown"/>
        <s v="Sandra Ortiz"/>
        <s v="Sharon Simpson"/>
        <s v="Jason Yang"/>
        <s v="Angelica Cohen"/>
        <s v="Jack Welch"/>
        <s v="Jeffrey Robinson"/>
        <s v="Brandon Melton"/>
        <s v="Adam Hanna"/>
        <s v="Wanda Grant"/>
        <s v="Briana Hall"/>
        <s v="Shelley Cook"/>
        <s v="Julie Torres"/>
        <s v="Joshua Whitaker"/>
        <s v="Janet Brown"/>
        <s v="Natalie Hale"/>
        <s v="Michael Salas"/>
        <s v="Wendy Kemp"/>
        <s v="Bryan Stone"/>
        <s v="Richard Brennan"/>
        <s v="Nicholas Massey"/>
        <s v="Adam Henderson"/>
        <s v="Brian Parker"/>
        <s v="Neil Weaver"/>
        <s v="Barbara Johnson"/>
        <s v="Michelle Carter"/>
        <s v="Frances Short"/>
        <s v="Lynn Daniels"/>
        <s v="Mark Obrien"/>
        <s v="Brian Andrade"/>
        <s v="Lori Davis"/>
        <s v="Deborah Miller"/>
        <s v="Jeremy Barrett"/>
        <s v="Jerry Hughes"/>
        <s v="Maria George"/>
        <s v="Megan Chang"/>
        <s v="Mark White"/>
        <s v="Roger Strong"/>
        <s v="Jasmine Hall"/>
        <s v="Brandy Gill"/>
        <s v="Jason Lloyd"/>
        <s v="Karen Allen"/>
        <s v="Kristin Sullivan"/>
        <s v="Monica Reyes"/>
        <s v="James Peterson"/>
        <s v="Patrick Stuart"/>
        <s v="Jacob Cross"/>
        <s v="Daniel Williams"/>
        <s v="Antonio Mccall"/>
        <s v="Lisa Huff"/>
        <s v="Richard Duarte"/>
        <s v="Brian Davis"/>
        <s v="Pamela Farmer"/>
        <s v="Jessica Peterson"/>
        <s v="Kristina Clark"/>
        <s v="Natalie Bryan"/>
        <s v="Kevin Miller"/>
        <s v="Kyle Wallace"/>
        <s v="Christopher Johnson"/>
        <s v="James Graham"/>
        <s v="Scott Barnes"/>
        <s v="Courtney Young"/>
        <s v="Carol Garcia"/>
        <s v="John Rodriguez"/>
        <s v="Kerri Brown"/>
        <s v="Jill Peterson"/>
        <s v="Rachel Adams"/>
        <s v="Linda Hodges"/>
        <s v="Brandy Schwartz"/>
        <s v="Megan Hickman"/>
        <s v="Elizabeth Rose"/>
        <s v="Jennifer Brown"/>
        <s v="Sandra Burns"/>
        <s v="Lisa Perry"/>
        <s v="Johnny Green"/>
        <s v="Aaron Gardner"/>
        <s v="Ashley Mcgee"/>
        <s v="Glen Bell"/>
        <s v="Paul Hughes"/>
        <s v="Amber Carson"/>
        <s v="Jeremiah Munoz"/>
        <s v="James Collins"/>
        <s v="Jaime Rivera"/>
        <s v="Ronnie Johnson"/>
        <s v="Darin Tapia"/>
        <s v="Denise Duffy"/>
        <s v="Trevor Jackson"/>
        <s v="Sandra Burton"/>
        <s v="Kelly Taylor"/>
        <s v="Larry Stewart"/>
        <s v="John Sharp"/>
        <s v="Caleb Peterson"/>
        <s v="Jacob Rogers"/>
        <s v="Robert Gill"/>
        <s v="Carlos Hall"/>
        <s v="Stephanie Henson"/>
        <s v="Keith Pearson"/>
        <s v="Jacob Mcintosh"/>
        <s v="Amy Cole"/>
        <s v="Garrett Cook"/>
        <s v="Anthony Johnson"/>
        <s v="Haley Carlson"/>
        <s v="Jennifer Bowers"/>
        <s v="Desiree Carr"/>
        <s v="Kristen Kelley"/>
        <s v="Katelyn Mosley"/>
        <s v="Tina Fields"/>
        <s v="Brian Jones"/>
        <s v="Stephen Williams"/>
        <s v="Cassandra Beck"/>
        <s v="Hannah Thomas"/>
        <s v="Teresa Mitchell"/>
        <s v="Jose Finley"/>
        <s v="Adam Thomas"/>
        <s v="John Griffin"/>
        <s v="Janet Phillips"/>
        <s v="Nancy Wells"/>
        <s v="Julie Valdez"/>
        <s v="Thomas Curry"/>
        <s v="James Solis"/>
        <s v="Bryan Scott"/>
        <s v="Amanda Nelson"/>
        <s v="Laura Carr"/>
        <s v="Christina Bernard"/>
        <s v="Veronica Page"/>
        <s v="Matthew Johnson"/>
        <s v="Kimberly Fry"/>
        <s v="Anthony Walker"/>
        <s v="Haley Hood"/>
        <s v="Melanie Marshall"/>
        <s v="Tara Braun"/>
        <s v="Patrick Galloway"/>
        <s v="Adam Singleton"/>
        <s v="Christopher Conner"/>
        <s v="Melinda Carpenter"/>
        <s v="Michael Iii"/>
        <s v="Lynn Martinez"/>
        <s v="Wanda Lee"/>
        <s v="Karen Gibbs"/>
        <s v="Keith Parks"/>
        <s v="Nathan Bennett"/>
        <s v="Joseph Wright"/>
        <s v="Matthew Perez"/>
        <s v="Robert Swanson"/>
        <s v="Frances Wilson"/>
        <s v="Robert Roberts"/>
        <s v="Joel Rivera"/>
        <s v="Tanner Johnson"/>
        <s v="Jason Mckenzie"/>
        <s v="Latoya Barton"/>
        <s v="Patricia Shelton"/>
        <s v="Tracy Reeves"/>
        <s v="Shelly Morrison"/>
        <s v="Karina Graves"/>
        <s v="Derrick Johnson"/>
        <s v="Matthew Mcbride"/>
        <s v="Timothy White"/>
        <s v="Carol Garrett"/>
        <s v="Cindy Cook"/>
        <s v="Francisco Randall"/>
        <s v="Tyler Hall"/>
        <s v="Jennifer Adams"/>
        <s v="Kelly Lewis"/>
        <s v="Kayla Herrera"/>
        <s v="Alicia Roth"/>
        <s v="James Mueller"/>
        <s v="Thomas Sloan"/>
        <s v="David Davis"/>
        <s v="Ruth Vang"/>
        <s v="Nicole Olson"/>
        <s v="William Robbins"/>
        <s v="Elizabeth Wright"/>
        <s v="Jose Huang"/>
        <s v="Mary Harris"/>
        <s v="Michael Jones"/>
        <s v="Joseph Jones"/>
        <s v="Sheila Mclean"/>
        <s v="Tabitha Murray"/>
        <s v="Keith Taylor"/>
        <s v="Heather Carlson"/>
        <s v="Michele Guzman"/>
        <s v="Maria Harris"/>
        <s v="Jennifer Garcia"/>
        <s v="Tammy Cooper"/>
        <s v="William King"/>
        <s v="Erin Smith"/>
        <s v="Jennifer Torres"/>
        <s v="Andrew Gaines"/>
        <s v="Andrew Oneill"/>
        <s v="Robert Santos"/>
        <s v="Dominique Gibson"/>
        <s v="Christine Green"/>
        <s v="Michael Jackson"/>
        <s v="Megan Perry"/>
        <s v="Jill Sherman"/>
        <s v="Julia Ochoa"/>
        <s v="Rachel Ford"/>
        <s v="Reginald Brown"/>
        <s v="Cassandra Bennett"/>
        <s v="Patricia Lowe"/>
        <s v="Krystal Hendricks"/>
        <s v="Connor Acosta"/>
        <s v="Angela Wheeler"/>
        <s v="Christopher Oconnell"/>
        <s v="Justin Stephens"/>
        <s v="Cheryl Johnson"/>
        <s v="Amanda Stewart"/>
        <s v="John Blair"/>
        <s v="Jacob Chen"/>
        <s v="Laura Carter"/>
        <s v="Erica Davis"/>
        <s v="Jorge Gomez"/>
        <s v="Christopher Crosby"/>
        <s v="Austin Simmons"/>
        <s v="Cheryl Morris"/>
        <s v="George Garcia"/>
        <s v="Mary Hammond"/>
        <s v="Kara Pollard"/>
        <s v="Stephanie Price"/>
        <s v="Karen Martinez"/>
        <s v="David James"/>
        <s v="Tammy Martin"/>
        <s v="Katelyn Howell"/>
        <s v="Dakota Banks"/>
        <s v="Diane Munoz"/>
        <s v="Desire Landry"/>
        <s v="Brenda Adams"/>
        <s v="Richard Blanchard"/>
        <s v="Adam Long"/>
        <s v="Melanie Mckinney"/>
        <s v="Thomas Taylor"/>
        <s v="Patricia Walker"/>
        <s v="Charles Collins"/>
        <s v="James Brewer"/>
        <s v="Zachary Richards"/>
        <s v="Kathleen Davis"/>
        <s v="Joseph Lewis"/>
        <s v="Nicholas Wilson"/>
        <s v="Joel Hardy"/>
        <s v="Holly Johnson"/>
        <s v="Molly Coleman"/>
        <s v="Rebecca Thomas"/>
        <s v="Alex Phillips"/>
        <s v="Alicia Howe"/>
        <s v="Ashley Miller"/>
        <s v="John Nguyen"/>
        <s v="Jacob Barnes"/>
        <s v="Mark Burnett"/>
        <s v="Cheryl Wade"/>
        <s v="Regina Rivera"/>
        <s v="Crystal Archer"/>
        <s v="Joshua Warren"/>
        <s v="Jacqueline Brooks"/>
        <s v="Debbie Trujillo"/>
        <s v="Jonathan Johnson"/>
        <s v="Laura Olson"/>
        <s v="Thomas Gray"/>
        <s v="Stanley Edwards"/>
        <s v="Christine Patterson"/>
        <s v="Joshua Moore"/>
        <s v="Scott Palmer"/>
        <s v="Valerie Mccarty"/>
        <s v="Jeffery Fischer"/>
        <s v="Cassandra Strong"/>
        <s v="Christina Cohen"/>
        <s v="Chad Jones"/>
        <s v="Richard Anderson"/>
        <s v="Gregory Weber"/>
        <s v="Cynthia Bailey"/>
        <s v="Connie Garcia"/>
        <s v="Gregory Brock"/>
        <s v="Nicholas Donaldson"/>
        <s v="Alan Mitchell"/>
        <s v="Aaron Garrison"/>
        <s v="Jonathan Mack"/>
        <s v="Stephanie Jones"/>
        <s v="Peter Pierce"/>
        <s v="Marcia Rice"/>
        <s v="Kathryn Weiss"/>
        <s v="Robert Atkinson"/>
        <s v="Adam Robinson"/>
        <s v="Holly Townsend"/>
        <s v="Catherine Leblanc"/>
        <s v="Christopher Holden"/>
        <s v="Tracy Shannon"/>
        <s v="Travis Hall"/>
        <s v="Shannon Woodard"/>
        <s v="Martha Hall"/>
        <s v="Susan Porter"/>
        <s v="Daniel Adams"/>
        <s v="Sarah Forbes"/>
        <s v="Eric Taylor"/>
        <s v="Gloria Stevens"/>
        <s v="Bethany Hess"/>
        <s v="Emily Meyer"/>
        <s v="Amy Snow"/>
        <s v="John Hill"/>
        <s v="Joseph Payne"/>
        <s v="Daniel Grant"/>
        <s v="Shannon Fischer"/>
        <s v="Leah Jackson"/>
        <s v="Timothy Paul"/>
        <s v="Marilyn Rodriguez"/>
        <s v="Emma Lynch"/>
        <s v="Jose Copeland"/>
        <s v="Brent Johnson"/>
      </sharedItems>
    </cacheField>
    <cacheField name="Amount" numFmtId="165">
      <sharedItems containsString="0" containsBlank="1" containsNumber="1" minValue="4.7349788780394197" maxValue="123000" count="254">
        <n v="123000"/>
        <n v="120000"/>
        <n v="95000"/>
        <n v="90000"/>
        <n v="78000"/>
        <n v="56000"/>
        <n v="54000"/>
        <n v="50000"/>
        <n v="45000"/>
        <n v="44000"/>
        <n v="34000"/>
        <n v="29370"/>
        <n v="25000"/>
        <n v="23000"/>
        <n v="18000"/>
        <n v="17500"/>
        <n v="17000"/>
        <n v="15000"/>
        <n v="14000"/>
        <n v="13500"/>
        <n v="13000"/>
        <n v="12000"/>
        <n v="10000"/>
        <n v="9929.4319131085595"/>
        <n v="9891.8248113452501"/>
        <n v="9851.8259493926707"/>
        <n v="9821.6898489904106"/>
        <n v="9810.3021037234394"/>
        <n v="9800"/>
        <n v="9741.8851595885608"/>
        <n v="9675.4025029014301"/>
        <n v="9626.6635727363991"/>
        <n v="9600"/>
        <n v="9557.1452255059903"/>
        <n v="9500"/>
        <n v="9497.6640579601208"/>
        <n v="9487.1235244924701"/>
        <n v="9475.2265321114992"/>
        <n v="9389.9050222972492"/>
        <n v="9370"/>
        <n v="9357.6047552103901"/>
        <n v="9164.4125319253599"/>
        <n v="9063.5736026266095"/>
        <n v="8846.8605197051202"/>
        <n v="8786.5886832576198"/>
        <n v="8758.8392130253997"/>
        <n v="8746.9900549941704"/>
        <n v="8700"/>
        <n v="8500"/>
        <n v="8477.6607156913797"/>
        <n v="8469.1889982048706"/>
        <n v="8326.3702513058906"/>
        <n v="8304.3653221610493"/>
        <n v="8230"/>
        <n v="7600"/>
        <n v="7500"/>
        <n v="7400"/>
        <n v="7379.4751912537204"/>
        <n v="7300"/>
        <n v="7119.9580914626404"/>
        <n v="7097.8406167323101"/>
        <n v="6989.9171180343901"/>
        <n v="6851.2632038280199"/>
        <n v="6708.7920139287598"/>
        <n v="6540"/>
        <n v="6514.7905032278204"/>
        <n v="6465.7289434037602"/>
        <n v="6400.49730467064"/>
        <n v="6318.79431730546"/>
        <n v="6300"/>
        <n v="6273.8918029696097"/>
        <n v="6190.0231423895402"/>
        <n v="6163.97775606916"/>
        <n v="6075.4086339712203"/>
        <n v="6063.3841775421897"/>
        <n v="6000"/>
        <n v="5728.3587570766304"/>
        <n v="5614.7168288129496"/>
        <n v="5600"/>
        <n v="5512.8263999426299"/>
        <n v="5400"/>
        <n v="5300"/>
        <n v="5261.0190876246797"/>
        <n v="5239.2522577125101"/>
        <n v="5163.5156268235496"/>
        <n v="5148.6223896095498"/>
        <n v="5096.5701893169598"/>
        <n v="5000"/>
        <n v="4963.4252764708399"/>
        <n v="4792.56563771321"/>
        <n v="4781.1190331909002"/>
        <n v="4766.3312088702296"/>
        <n v="4671.3122754826099"/>
        <n v="4410.8742035303403"/>
        <n v="4356.8076140807198"/>
        <n v="4211.7216071495504"/>
        <n v="4148.4602702345501"/>
        <n v="4000"/>
        <n v="3760"/>
        <n v="3595.7813250254299"/>
        <n v="3200"/>
        <n v="3103.0946472095602"/>
        <n v="2910"/>
        <n v="2903.4006600949201"/>
        <n v="2891.54626529602"/>
        <n v="2855.0579108358902"/>
        <n v="2724.84817491801"/>
        <n v="2711.3178299134702"/>
        <n v="2700"/>
        <n v="2637.4090115506601"/>
        <n v="2568.5583578583201"/>
        <n v="2500.9726636466798"/>
        <n v="2500"/>
        <n v="2368.6366242868098"/>
        <n v="2322.9565305414499"/>
        <n v="2282.4949048252702"/>
        <n v="2189.0701284622"/>
        <n v="2091.4132798554401"/>
        <n v="1928"/>
        <n v="1780"/>
        <n v="1759.7296563785601"/>
        <n v="1737.93385616602"/>
        <n v="1721.9062905217099"/>
        <n v="1700"/>
        <n v="1678.0982450407901"/>
        <n v="1568.60559764608"/>
        <n v="1513.3436847289099"/>
        <n v="1500"/>
        <n v="1450"/>
        <n v="1438.83877847331"/>
        <n v="1382.2721408191301"/>
        <n v="1379.9788345776501"/>
        <n v="1288.2023216088701"/>
        <n v="1230"/>
        <n v="1227.0815730372401"/>
        <n v="1200"/>
        <n v="1025.80439546911"/>
        <n v="1000"/>
        <n v="972.09324437361602"/>
        <n v="969.30685053361901"/>
        <n v="957.29252547226599"/>
        <n v="951.178865328548"/>
        <n v="942.86936174279003"/>
        <n v="939.54715055173597"/>
        <n v="933.45756551658803"/>
        <n v="921.05159041783804"/>
        <n v="906.46890391195802"/>
        <n v="899.65041589135501"/>
        <n v="851.98983398164103"/>
        <n v="850"/>
        <n v="840"/>
        <n v="812.99942048489299"/>
        <n v="807.57771146249695"/>
        <n v="788.64829000980899"/>
        <n v="788.30668616620801"/>
        <n v="787.681392120895"/>
        <n v="775.44589490567898"/>
        <n v="773.42060851468204"/>
        <n v="767.64074282127797"/>
        <n v="767.640591072284"/>
        <n v="753.08604790074503"/>
        <n v="750"/>
        <n v="745.978642305829"/>
        <n v="726"/>
        <n v="704.224078713214"/>
        <n v="702.66497333966004"/>
        <n v="700"/>
        <n v="696.68046574207699"/>
        <n v="695.11221893532002"/>
        <n v="669.37549034357301"/>
        <n v="663.36226434909599"/>
        <n v="660.45277403917498"/>
        <n v="658.437303185921"/>
        <n v="656.41320432561895"/>
        <n v="622.978819045254"/>
        <n v="618.46916320055902"/>
        <n v="618.26118861472298"/>
        <n v="611.78021298985504"/>
        <n v="587.12550469514304"/>
        <n v="585.70548688299095"/>
        <n v="573.59310641522097"/>
        <n v="568.043827367532"/>
        <n v="557.76850075566699"/>
        <n v="554.55985157139605"/>
        <n v="540"/>
        <n v="538.64632985466994"/>
        <n v="525.484036012773"/>
        <n v="520"/>
        <n v="519.83410220161397"/>
        <n v="491.25198529020702"/>
        <n v="481.26238537476303"/>
        <n v="480.23697380661099"/>
        <n v="479.44845860386903"/>
        <n v="475.98940927973598"/>
        <n v="475.75609455991997"/>
        <n v="474.41659405202802"/>
        <n v="469.60288500642997"/>
        <n v="460.89489546675702"/>
        <n v="459.28476549100799"/>
        <n v="450"/>
        <n v="443.98998918419301"/>
        <n v="440.00135868523699"/>
        <n v="430.43241699550202"/>
        <n v="430"/>
        <n v="420.045319673412"/>
        <n v="415.04744091550998"/>
        <n v="398.09270556066099"/>
        <n v="395.91958481062102"/>
        <n v="392.04033943938202"/>
        <n v="386.011424105174"/>
        <n v="374.47089828204901"/>
        <n v="373.65406767253199"/>
        <n v="371.80432355577398"/>
        <n v="369.16325329443299"/>
        <n v="367.73734548621502"/>
        <n v="363.01661683714099"/>
        <n v="359.97713098893701"/>
        <n v="356.91702389710002"/>
        <n v="350.76710902160499"/>
        <n v="344.20781899791899"/>
        <n v="321.13619824797001"/>
        <n v="317.14524622461403"/>
        <n v="308.34884938781101"/>
        <n v="300.808682375297"/>
        <n v="295.36425398299599"/>
        <n v="283.017642554421"/>
        <n v="278.88749449666398"/>
        <n v="272.81530034096198"/>
        <n v="268.073967615838"/>
        <n v="242.10715510196599"/>
        <n v="234.029260524927"/>
        <n v="220.573894709874"/>
        <n v="217.27134317407501"/>
        <n v="198.516375375194"/>
        <n v="194.76043370859199"/>
        <n v="159.04619252292301"/>
        <n v="153.381169538802"/>
        <n v="151.15038470408601"/>
        <n v="144.61121434189499"/>
        <n v="127.363789032357"/>
        <n v="125.799546208362"/>
        <n v="120.62753324200899"/>
        <n v="120"/>
        <n v="90.522945695275496"/>
        <n v="90"/>
        <n v="85.340273519963603"/>
        <n v="78.5469795729921"/>
        <n v="76.989638932025997"/>
        <n v="74.678311268991195"/>
        <n v="62.158911812909501"/>
        <n v="36.684701848330697"/>
        <n v="30.688579780824799"/>
        <n v="4.734978878039419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x v="0"/>
    <n v="123000"/>
  </r>
  <r>
    <x v="1"/>
    <n v="120000"/>
  </r>
  <r>
    <x v="0"/>
    <n v="95000"/>
  </r>
  <r>
    <x v="1"/>
    <n v="90000"/>
  </r>
  <r>
    <x v="2"/>
    <n v="78000"/>
  </r>
  <r>
    <x v="1"/>
    <n v="56000"/>
  </r>
  <r>
    <x v="3"/>
    <n v="54000"/>
  </r>
  <r>
    <x v="2"/>
    <n v="50000"/>
  </r>
  <r>
    <x v="1"/>
    <n v="45000"/>
  </r>
  <r>
    <x v="1"/>
    <n v="44000"/>
  </r>
  <r>
    <x v="0"/>
    <n v="34000"/>
  </r>
  <r>
    <x v="3"/>
    <n v="29370"/>
  </r>
  <r>
    <x v="0"/>
    <n v="25000"/>
  </r>
  <r>
    <x v="1"/>
    <n v="25000"/>
  </r>
  <r>
    <x v="4"/>
    <n v="23000"/>
  </r>
  <r>
    <x v="4"/>
    <n v="18000"/>
  </r>
  <r>
    <x v="2"/>
    <n v="17500"/>
  </r>
  <r>
    <x v="4"/>
    <n v="17000"/>
  </r>
  <r>
    <x v="1"/>
    <n v="17000"/>
  </r>
  <r>
    <x v="3"/>
    <n v="15000"/>
  </r>
  <r>
    <x v="0"/>
    <n v="14000"/>
  </r>
  <r>
    <x v="2"/>
    <n v="13500"/>
  </r>
  <r>
    <x v="1"/>
    <n v="13000"/>
  </r>
  <r>
    <x v="2"/>
    <n v="12000"/>
  </r>
  <r>
    <x v="1"/>
    <n v="10000"/>
  </r>
  <r>
    <x v="3"/>
    <n v="9929.4319131085595"/>
  </r>
  <r>
    <x v="1"/>
    <n v="9891.8248113452501"/>
  </r>
  <r>
    <x v="2"/>
    <n v="9851.8259493926707"/>
  </r>
  <r>
    <x v="1"/>
    <n v="9821.6898489904106"/>
  </r>
  <r>
    <x v="1"/>
    <n v="9810.3021037234394"/>
  </r>
  <r>
    <x v="2"/>
    <n v="9800"/>
  </r>
  <r>
    <x v="1"/>
    <n v="9800"/>
  </r>
  <r>
    <x v="2"/>
    <n v="9800"/>
  </r>
  <r>
    <x v="4"/>
    <n v="9741.8851595885608"/>
  </r>
  <r>
    <x v="2"/>
    <n v="9675.4025029014301"/>
  </r>
  <r>
    <x v="1"/>
    <n v="9626.6635727363991"/>
  </r>
  <r>
    <x v="2"/>
    <n v="9600"/>
  </r>
  <r>
    <x v="1"/>
    <n v="9557.1452255059903"/>
  </r>
  <r>
    <x v="4"/>
    <n v="9500"/>
  </r>
  <r>
    <x v="3"/>
    <n v="9500"/>
  </r>
  <r>
    <x v="3"/>
    <n v="9500"/>
  </r>
  <r>
    <x v="3"/>
    <n v="9500"/>
  </r>
  <r>
    <x v="4"/>
    <n v="9500"/>
  </r>
  <r>
    <x v="3"/>
    <n v="9500"/>
  </r>
  <r>
    <x v="1"/>
    <n v="9500"/>
  </r>
  <r>
    <x v="1"/>
    <n v="9500"/>
  </r>
  <r>
    <x v="0"/>
    <n v="9500"/>
  </r>
  <r>
    <x v="4"/>
    <n v="9500"/>
  </r>
  <r>
    <x v="1"/>
    <n v="9500"/>
  </r>
  <r>
    <x v="2"/>
    <n v="9500"/>
  </r>
  <r>
    <x v="1"/>
    <n v="9500"/>
  </r>
  <r>
    <x v="0"/>
    <n v="9500"/>
  </r>
  <r>
    <x v="1"/>
    <n v="9500"/>
  </r>
  <r>
    <x v="1"/>
    <n v="9500"/>
  </r>
  <r>
    <x v="4"/>
    <n v="9500"/>
  </r>
  <r>
    <x v="3"/>
    <n v="9500"/>
  </r>
  <r>
    <x v="1"/>
    <n v="9500"/>
  </r>
  <r>
    <x v="1"/>
    <n v="9500"/>
  </r>
  <r>
    <x v="1"/>
    <n v="9500"/>
  </r>
  <r>
    <x v="4"/>
    <n v="9500"/>
  </r>
  <r>
    <x v="1"/>
    <n v="9500"/>
  </r>
  <r>
    <x v="0"/>
    <n v="9500"/>
  </r>
  <r>
    <x v="0"/>
    <n v="9500"/>
  </r>
  <r>
    <x v="3"/>
    <n v="9500"/>
  </r>
  <r>
    <x v="2"/>
    <n v="9500"/>
  </r>
  <r>
    <x v="1"/>
    <n v="9500"/>
  </r>
  <r>
    <x v="1"/>
    <n v="9500"/>
  </r>
  <r>
    <x v="1"/>
    <n v="9500"/>
  </r>
  <r>
    <x v="4"/>
    <n v="9500"/>
  </r>
  <r>
    <x v="3"/>
    <n v="9500"/>
  </r>
  <r>
    <x v="2"/>
    <n v="9500"/>
  </r>
  <r>
    <x v="1"/>
    <n v="9500"/>
  </r>
  <r>
    <x v="1"/>
    <n v="9500"/>
  </r>
  <r>
    <x v="1"/>
    <n v="9500"/>
  </r>
  <r>
    <x v="1"/>
    <n v="9500"/>
  </r>
  <r>
    <x v="1"/>
    <n v="9500"/>
  </r>
  <r>
    <x v="0"/>
    <n v="9500"/>
  </r>
  <r>
    <x v="3"/>
    <n v="9500"/>
  </r>
  <r>
    <x v="2"/>
    <n v="9500"/>
  </r>
  <r>
    <x v="4"/>
    <n v="9500"/>
  </r>
  <r>
    <x v="0"/>
    <n v="9500"/>
  </r>
  <r>
    <x v="1"/>
    <n v="9500"/>
  </r>
  <r>
    <x v="1"/>
    <n v="9500"/>
  </r>
  <r>
    <x v="1"/>
    <n v="9500"/>
  </r>
  <r>
    <x v="0"/>
    <n v="9500"/>
  </r>
  <r>
    <x v="1"/>
    <n v="9500"/>
  </r>
  <r>
    <x v="1"/>
    <n v="9500"/>
  </r>
  <r>
    <x v="2"/>
    <n v="9500"/>
  </r>
  <r>
    <x v="3"/>
    <n v="9500"/>
  </r>
  <r>
    <x v="2"/>
    <n v="9500"/>
  </r>
  <r>
    <x v="0"/>
    <n v="9500"/>
  </r>
  <r>
    <x v="1"/>
    <n v="9500"/>
  </r>
  <r>
    <x v="4"/>
    <n v="9500"/>
  </r>
  <r>
    <x v="4"/>
    <n v="9500"/>
  </r>
  <r>
    <x v="1"/>
    <n v="9500"/>
  </r>
  <r>
    <x v="1"/>
    <n v="9500"/>
  </r>
  <r>
    <x v="1"/>
    <n v="9500"/>
  </r>
  <r>
    <x v="0"/>
    <n v="9500"/>
  </r>
  <r>
    <x v="3"/>
    <n v="9500"/>
  </r>
  <r>
    <x v="1"/>
    <n v="9500"/>
  </r>
  <r>
    <x v="3"/>
    <n v="9500"/>
  </r>
  <r>
    <x v="2"/>
    <n v="9500"/>
  </r>
  <r>
    <x v="4"/>
    <n v="9500"/>
  </r>
  <r>
    <x v="3"/>
    <n v="9500"/>
  </r>
  <r>
    <x v="4"/>
    <n v="9500"/>
  </r>
  <r>
    <x v="4"/>
    <n v="9500"/>
  </r>
  <r>
    <x v="2"/>
    <n v="9500"/>
  </r>
  <r>
    <x v="4"/>
    <n v="9500"/>
  </r>
  <r>
    <x v="4"/>
    <n v="9500"/>
  </r>
  <r>
    <x v="1"/>
    <n v="9500"/>
  </r>
  <r>
    <x v="2"/>
    <n v="9500"/>
  </r>
  <r>
    <x v="0"/>
    <n v="9500"/>
  </r>
  <r>
    <x v="4"/>
    <n v="9500"/>
  </r>
  <r>
    <x v="0"/>
    <n v="9500"/>
  </r>
  <r>
    <x v="1"/>
    <n v="9500"/>
  </r>
  <r>
    <x v="2"/>
    <n v="9500"/>
  </r>
  <r>
    <x v="1"/>
    <n v="9500"/>
  </r>
  <r>
    <x v="2"/>
    <n v="9500"/>
  </r>
  <r>
    <x v="4"/>
    <n v="9500"/>
  </r>
  <r>
    <x v="2"/>
    <n v="9500"/>
  </r>
  <r>
    <x v="0"/>
    <n v="9500"/>
  </r>
  <r>
    <x v="1"/>
    <n v="9500"/>
  </r>
  <r>
    <x v="3"/>
    <n v="9500"/>
  </r>
  <r>
    <x v="0"/>
    <n v="9500"/>
  </r>
  <r>
    <x v="1"/>
    <n v="9500"/>
  </r>
  <r>
    <x v="1"/>
    <n v="9500"/>
  </r>
  <r>
    <x v="1"/>
    <n v="9500"/>
  </r>
  <r>
    <x v="3"/>
    <n v="9500"/>
  </r>
  <r>
    <x v="0"/>
    <n v="9497.6640579601208"/>
  </r>
  <r>
    <x v="0"/>
    <n v="9487.1235244924701"/>
  </r>
  <r>
    <x v="2"/>
    <n v="9475.2265321114992"/>
  </r>
  <r>
    <x v="0"/>
    <n v="9389.9050222972492"/>
  </r>
  <r>
    <x v="4"/>
    <n v="9370"/>
  </r>
  <r>
    <x v="2"/>
    <n v="9357.6047552103901"/>
  </r>
  <r>
    <x v="3"/>
    <n v="9164.4125319253599"/>
  </r>
  <r>
    <x v="3"/>
    <n v="9063.5736026266095"/>
  </r>
  <r>
    <x v="3"/>
    <n v="8846.8605197051202"/>
  </r>
  <r>
    <x v="1"/>
    <n v="8786.5886832576198"/>
  </r>
  <r>
    <x v="2"/>
    <n v="8758.8392130253997"/>
  </r>
  <r>
    <x v="1"/>
    <n v="8746.9900549941704"/>
  </r>
  <r>
    <x v="1"/>
    <n v="8700"/>
  </r>
  <r>
    <x v="0"/>
    <n v="8500"/>
  </r>
  <r>
    <x v="4"/>
    <n v="8500"/>
  </r>
  <r>
    <x v="2"/>
    <n v="8477.6607156913797"/>
  </r>
  <r>
    <x v="4"/>
    <n v="8469.1889982048706"/>
  </r>
  <r>
    <x v="4"/>
    <n v="8326.3702513058906"/>
  </r>
  <r>
    <x v="0"/>
    <n v="8304.3653221610493"/>
  </r>
  <r>
    <x v="2"/>
    <n v="8230"/>
  </r>
  <r>
    <x v="4"/>
    <n v="7600"/>
  </r>
  <r>
    <x v="0"/>
    <n v="7600"/>
  </r>
  <r>
    <x v="2"/>
    <n v="7500"/>
  </r>
  <r>
    <x v="2"/>
    <n v="7500"/>
  </r>
  <r>
    <x v="1"/>
    <n v="7500"/>
  </r>
  <r>
    <x v="1"/>
    <n v="7500"/>
  </r>
  <r>
    <x v="4"/>
    <n v="7500"/>
  </r>
  <r>
    <x v="1"/>
    <n v="7400"/>
  </r>
  <r>
    <x v="0"/>
    <n v="7379.4751912537204"/>
  </r>
  <r>
    <x v="0"/>
    <n v="7300"/>
  </r>
  <r>
    <x v="0"/>
    <n v="7119.9580914626404"/>
  </r>
  <r>
    <x v="2"/>
    <n v="7097.8406167323101"/>
  </r>
  <r>
    <x v="0"/>
    <n v="6989.9171180343901"/>
  </r>
  <r>
    <x v="1"/>
    <n v="6851.2632038280199"/>
  </r>
  <r>
    <x v="1"/>
    <n v="6708.7920139287598"/>
  </r>
  <r>
    <x v="0"/>
    <n v="6540"/>
  </r>
  <r>
    <x v="0"/>
    <n v="6514.7905032278204"/>
  </r>
  <r>
    <x v="1"/>
    <n v="6465.7289434037602"/>
  </r>
  <r>
    <x v="1"/>
    <n v="6400.49730467064"/>
  </r>
  <r>
    <x v="1"/>
    <n v="6318.79431730546"/>
  </r>
  <r>
    <x v="3"/>
    <n v="6300"/>
  </r>
  <r>
    <x v="1"/>
    <n v="6273.8918029696097"/>
  </r>
  <r>
    <x v="0"/>
    <n v="6190.0231423895402"/>
  </r>
  <r>
    <x v="1"/>
    <n v="6163.97775606916"/>
  </r>
  <r>
    <x v="1"/>
    <n v="6075.4086339712203"/>
  </r>
  <r>
    <x v="1"/>
    <n v="6063.3841775421897"/>
  </r>
  <r>
    <x v="1"/>
    <n v="6000"/>
  </r>
  <r>
    <x v="0"/>
    <n v="5728.3587570766304"/>
  </r>
  <r>
    <x v="1"/>
    <n v="5614.7168288129496"/>
  </r>
  <r>
    <x v="3"/>
    <n v="5614.7168288129496"/>
  </r>
  <r>
    <x v="1"/>
    <n v="5600"/>
  </r>
  <r>
    <x v="0"/>
    <n v="5512.8263999426299"/>
  </r>
  <r>
    <x v="1"/>
    <n v="5400"/>
  </r>
  <r>
    <x v="1"/>
    <n v="5400"/>
  </r>
  <r>
    <x v="2"/>
    <n v="5300"/>
  </r>
  <r>
    <x v="1"/>
    <n v="5261.0190876246797"/>
  </r>
  <r>
    <x v="4"/>
    <n v="5239.2522577125101"/>
  </r>
  <r>
    <x v="1"/>
    <n v="5163.5156268235496"/>
  </r>
  <r>
    <x v="3"/>
    <n v="5148.6223896095498"/>
  </r>
  <r>
    <x v="1"/>
    <n v="5096.5701893169598"/>
  </r>
  <r>
    <x v="2"/>
    <n v="5000"/>
  </r>
  <r>
    <x v="0"/>
    <n v="4963.4252764708399"/>
  </r>
  <r>
    <x v="4"/>
    <n v="4792.56563771321"/>
  </r>
  <r>
    <x v="1"/>
    <n v="4781.1190331909002"/>
  </r>
  <r>
    <x v="0"/>
    <n v="4766.3312088702296"/>
  </r>
  <r>
    <x v="0"/>
    <n v="4671.3122754826099"/>
  </r>
  <r>
    <x v="2"/>
    <n v="4410.8742035303403"/>
  </r>
  <r>
    <x v="2"/>
    <n v="4356.8076140807198"/>
  </r>
  <r>
    <x v="2"/>
    <n v="4211.7216071495504"/>
  </r>
  <r>
    <x v="4"/>
    <n v="4148.4602702345501"/>
  </r>
  <r>
    <x v="1"/>
    <n v="4000"/>
  </r>
  <r>
    <x v="1"/>
    <n v="3760"/>
  </r>
  <r>
    <x v="1"/>
    <n v="3595.7813250254299"/>
  </r>
  <r>
    <x v="0"/>
    <n v="3200"/>
  </r>
  <r>
    <x v="3"/>
    <n v="3103.0946472095602"/>
  </r>
  <r>
    <x v="3"/>
    <n v="2910"/>
  </r>
  <r>
    <x v="2"/>
    <n v="2903.4006600949201"/>
  </r>
  <r>
    <x v="3"/>
    <n v="2891.54626529602"/>
  </r>
  <r>
    <x v="0"/>
    <n v="2855.0579108358902"/>
  </r>
  <r>
    <x v="2"/>
    <n v="2724.84817491801"/>
  </r>
  <r>
    <x v="1"/>
    <n v="2711.3178299134702"/>
  </r>
  <r>
    <x v="3"/>
    <n v="2700"/>
  </r>
  <r>
    <x v="1"/>
    <n v="2637.4090115506601"/>
  </r>
  <r>
    <x v="3"/>
    <n v="2568.5583578583201"/>
  </r>
  <r>
    <x v="2"/>
    <n v="2500.9726636466798"/>
  </r>
  <r>
    <x v="4"/>
    <n v="2500"/>
  </r>
  <r>
    <x v="1"/>
    <n v="2500"/>
  </r>
  <r>
    <x v="1"/>
    <n v="2368.6366242868098"/>
  </r>
  <r>
    <x v="4"/>
    <n v="2322.9565305414499"/>
  </r>
  <r>
    <x v="3"/>
    <n v="2282.4949048252702"/>
  </r>
  <r>
    <x v="0"/>
    <n v="2189.0701284622"/>
  </r>
  <r>
    <x v="1"/>
    <n v="2091.4132798554401"/>
  </r>
  <r>
    <x v="0"/>
    <n v="1928"/>
  </r>
  <r>
    <x v="1"/>
    <n v="1780"/>
  </r>
  <r>
    <x v="1"/>
    <n v="1759.7296563785601"/>
  </r>
  <r>
    <x v="0"/>
    <n v="1737.93385616602"/>
  </r>
  <r>
    <x v="1"/>
    <n v="1721.9062905217099"/>
  </r>
  <r>
    <x v="0"/>
    <n v="1700"/>
  </r>
  <r>
    <x v="4"/>
    <n v="1678.0982450407901"/>
  </r>
  <r>
    <x v="3"/>
    <n v="1568.60559764608"/>
  </r>
  <r>
    <x v="1"/>
    <n v="1513.3436847289099"/>
  </r>
  <r>
    <x v="2"/>
    <n v="1500"/>
  </r>
  <r>
    <x v="4"/>
    <n v="1500"/>
  </r>
  <r>
    <x v="1"/>
    <n v="1500"/>
  </r>
  <r>
    <x v="4"/>
    <n v="1500"/>
  </r>
  <r>
    <x v="0"/>
    <n v="1500"/>
  </r>
  <r>
    <x v="1"/>
    <n v="1500"/>
  </r>
  <r>
    <x v="2"/>
    <n v="1500"/>
  </r>
  <r>
    <x v="4"/>
    <n v="1500"/>
  </r>
  <r>
    <x v="1"/>
    <n v="1500"/>
  </r>
  <r>
    <x v="1"/>
    <n v="1500"/>
  </r>
  <r>
    <x v="2"/>
    <n v="1500"/>
  </r>
  <r>
    <x v="0"/>
    <n v="1500"/>
  </r>
  <r>
    <x v="4"/>
    <n v="1500"/>
  </r>
  <r>
    <x v="3"/>
    <n v="1500"/>
  </r>
  <r>
    <x v="0"/>
    <n v="1500"/>
  </r>
  <r>
    <x v="1"/>
    <n v="1500"/>
  </r>
  <r>
    <x v="2"/>
    <n v="1500"/>
  </r>
  <r>
    <x v="4"/>
    <n v="1500"/>
  </r>
  <r>
    <x v="1"/>
    <n v="1500"/>
  </r>
  <r>
    <x v="1"/>
    <n v="1500"/>
  </r>
  <r>
    <x v="1"/>
    <n v="1500"/>
  </r>
  <r>
    <x v="3"/>
    <n v="1500"/>
  </r>
  <r>
    <x v="2"/>
    <n v="1500"/>
  </r>
  <r>
    <x v="4"/>
    <n v="1500"/>
  </r>
  <r>
    <x v="2"/>
    <n v="1500"/>
  </r>
  <r>
    <x v="0"/>
    <n v="1500"/>
  </r>
  <r>
    <x v="1"/>
    <n v="1500"/>
  </r>
  <r>
    <x v="1"/>
    <n v="1500"/>
  </r>
  <r>
    <x v="1"/>
    <n v="1500"/>
  </r>
  <r>
    <x v="1"/>
    <n v="1500"/>
  </r>
  <r>
    <x v="3"/>
    <n v="1500"/>
  </r>
  <r>
    <x v="0"/>
    <n v="1500"/>
  </r>
  <r>
    <x v="0"/>
    <n v="1500"/>
  </r>
  <r>
    <x v="1"/>
    <n v="1500"/>
  </r>
  <r>
    <x v="3"/>
    <n v="1500"/>
  </r>
  <r>
    <x v="2"/>
    <n v="1500"/>
  </r>
  <r>
    <x v="1"/>
    <n v="1500"/>
  </r>
  <r>
    <x v="0"/>
    <n v="1500"/>
  </r>
  <r>
    <x v="1"/>
    <n v="1500"/>
  </r>
  <r>
    <x v="4"/>
    <n v="1500"/>
  </r>
  <r>
    <x v="3"/>
    <n v="1500"/>
  </r>
  <r>
    <x v="4"/>
    <n v="1500"/>
  </r>
  <r>
    <x v="0"/>
    <n v="1500"/>
  </r>
  <r>
    <x v="1"/>
    <n v="1500"/>
  </r>
  <r>
    <x v="3"/>
    <n v="1500"/>
  </r>
  <r>
    <x v="2"/>
    <n v="1500"/>
  </r>
  <r>
    <x v="4"/>
    <n v="1500"/>
  </r>
  <r>
    <x v="2"/>
    <n v="1500"/>
  </r>
  <r>
    <x v="2"/>
    <n v="1500"/>
  </r>
  <r>
    <x v="0"/>
    <n v="1500"/>
  </r>
  <r>
    <x v="4"/>
    <n v="1500"/>
  </r>
  <r>
    <x v="1"/>
    <n v="1500"/>
  </r>
  <r>
    <x v="0"/>
    <n v="1500"/>
  </r>
  <r>
    <x v="3"/>
    <n v="1500"/>
  </r>
  <r>
    <x v="2"/>
    <n v="1500"/>
  </r>
  <r>
    <x v="0"/>
    <n v="1500"/>
  </r>
  <r>
    <x v="1"/>
    <n v="1500"/>
  </r>
  <r>
    <x v="0"/>
    <n v="1500"/>
  </r>
  <r>
    <x v="0"/>
    <n v="1500"/>
  </r>
  <r>
    <x v="1"/>
    <n v="1500"/>
  </r>
  <r>
    <x v="1"/>
    <n v="1500"/>
  </r>
  <r>
    <x v="0"/>
    <n v="1500"/>
  </r>
  <r>
    <x v="1"/>
    <n v="1500"/>
  </r>
  <r>
    <x v="1"/>
    <n v="1500"/>
  </r>
  <r>
    <x v="1"/>
    <n v="1500"/>
  </r>
  <r>
    <x v="4"/>
    <n v="1500"/>
  </r>
  <r>
    <x v="2"/>
    <n v="1500"/>
  </r>
  <r>
    <x v="1"/>
    <n v="1500"/>
  </r>
  <r>
    <x v="0"/>
    <n v="1500"/>
  </r>
  <r>
    <x v="1"/>
    <n v="1500"/>
  </r>
  <r>
    <x v="1"/>
    <n v="1500"/>
  </r>
  <r>
    <x v="1"/>
    <n v="1500"/>
  </r>
  <r>
    <x v="1"/>
    <n v="1500"/>
  </r>
  <r>
    <x v="1"/>
    <n v="1500"/>
  </r>
  <r>
    <x v="2"/>
    <n v="1500"/>
  </r>
  <r>
    <x v="0"/>
    <n v="1500"/>
  </r>
  <r>
    <x v="1"/>
    <n v="1500"/>
  </r>
  <r>
    <x v="2"/>
    <n v="1500"/>
  </r>
  <r>
    <x v="0"/>
    <n v="1500"/>
  </r>
  <r>
    <x v="1"/>
    <n v="1500"/>
  </r>
  <r>
    <x v="0"/>
    <n v="1500"/>
  </r>
  <r>
    <x v="1"/>
    <n v="1500"/>
  </r>
  <r>
    <x v="1"/>
    <n v="1500"/>
  </r>
  <r>
    <x v="2"/>
    <n v="1500"/>
  </r>
  <r>
    <x v="1"/>
    <n v="1500"/>
  </r>
  <r>
    <x v="1"/>
    <n v="1500"/>
  </r>
  <r>
    <x v="1"/>
    <n v="1500"/>
  </r>
  <r>
    <x v="1"/>
    <n v="1500"/>
  </r>
  <r>
    <x v="0"/>
    <n v="1500"/>
  </r>
  <r>
    <x v="0"/>
    <n v="1500"/>
  </r>
  <r>
    <x v="1"/>
    <n v="1500"/>
  </r>
  <r>
    <x v="4"/>
    <n v="1500"/>
  </r>
  <r>
    <x v="4"/>
    <n v="1500"/>
  </r>
  <r>
    <x v="1"/>
    <n v="1500"/>
  </r>
  <r>
    <x v="3"/>
    <n v="1500"/>
  </r>
  <r>
    <x v="0"/>
    <n v="1500"/>
  </r>
  <r>
    <x v="1"/>
    <n v="1500"/>
  </r>
  <r>
    <x v="2"/>
    <n v="1500"/>
  </r>
  <r>
    <x v="1"/>
    <n v="1500"/>
  </r>
  <r>
    <x v="4"/>
    <n v="1500"/>
  </r>
  <r>
    <x v="0"/>
    <n v="1500"/>
  </r>
  <r>
    <x v="3"/>
    <n v="1500"/>
  </r>
  <r>
    <x v="2"/>
    <n v="1450"/>
  </r>
  <r>
    <x v="1"/>
    <n v="1438.83877847331"/>
  </r>
  <r>
    <x v="3"/>
    <n v="1382.2721408191301"/>
  </r>
  <r>
    <x v="1"/>
    <n v="1379.9788345776501"/>
  </r>
  <r>
    <x v="3"/>
    <n v="1288.2023216088701"/>
  </r>
  <r>
    <x v="1"/>
    <n v="1288.2023216088701"/>
  </r>
  <r>
    <x v="1"/>
    <n v="1230"/>
  </r>
  <r>
    <x v="1"/>
    <n v="1230"/>
  </r>
  <r>
    <x v="0"/>
    <n v="1227.0815730372401"/>
  </r>
  <r>
    <x v="1"/>
    <n v="1200"/>
  </r>
  <r>
    <x v="0"/>
    <n v="1025.80439546911"/>
  </r>
  <r>
    <x v="0"/>
    <n v="1000"/>
  </r>
  <r>
    <x v="4"/>
    <n v="1000"/>
  </r>
  <r>
    <x v="3"/>
    <n v="1000"/>
  </r>
  <r>
    <x v="1"/>
    <n v="1000"/>
  </r>
  <r>
    <x v="3"/>
    <n v="1000"/>
  </r>
  <r>
    <x v="3"/>
    <n v="1000"/>
  </r>
  <r>
    <x v="0"/>
    <n v="1000"/>
  </r>
  <r>
    <x v="1"/>
    <n v="972.09324437361602"/>
  </r>
  <r>
    <x v="4"/>
    <n v="969.30685053361901"/>
  </r>
  <r>
    <x v="4"/>
    <n v="957.29252547226599"/>
  </r>
  <r>
    <x v="1"/>
    <n v="951.178865328548"/>
  </r>
  <r>
    <x v="4"/>
    <n v="942.86936174279003"/>
  </r>
  <r>
    <x v="2"/>
    <n v="939.54715055173597"/>
  </r>
  <r>
    <x v="4"/>
    <n v="933.45756551658803"/>
  </r>
  <r>
    <x v="2"/>
    <n v="921.05159041783804"/>
  </r>
  <r>
    <x v="1"/>
    <n v="906.46890391195802"/>
  </r>
  <r>
    <x v="0"/>
    <n v="899.65041589135501"/>
  </r>
  <r>
    <x v="1"/>
    <n v="851.98983398164103"/>
  </r>
  <r>
    <x v="0"/>
    <n v="850"/>
  </r>
  <r>
    <x v="4"/>
    <n v="850"/>
  </r>
  <r>
    <x v="3"/>
    <n v="840"/>
  </r>
  <r>
    <x v="0"/>
    <n v="812.99942048489299"/>
  </r>
  <r>
    <x v="4"/>
    <n v="807.57771146249695"/>
  </r>
  <r>
    <x v="2"/>
    <n v="788.64829000980899"/>
  </r>
  <r>
    <x v="1"/>
    <n v="788.30668616620801"/>
  </r>
  <r>
    <x v="0"/>
    <n v="787.681392120895"/>
  </r>
  <r>
    <x v="2"/>
    <n v="775.44589490567898"/>
  </r>
  <r>
    <x v="0"/>
    <n v="773.42060851468204"/>
  </r>
  <r>
    <x v="2"/>
    <n v="767.64074282127797"/>
  </r>
  <r>
    <x v="3"/>
    <n v="767.640591072284"/>
  </r>
  <r>
    <x v="4"/>
    <n v="753.08604790074503"/>
  </r>
  <r>
    <x v="3"/>
    <n v="750"/>
  </r>
  <r>
    <x v="3"/>
    <n v="745.978642305829"/>
  </r>
  <r>
    <x v="1"/>
    <n v="726"/>
  </r>
  <r>
    <x v="1"/>
    <n v="704.224078713214"/>
  </r>
  <r>
    <x v="4"/>
    <n v="702.66497333966004"/>
  </r>
  <r>
    <x v="2"/>
    <n v="700"/>
  </r>
  <r>
    <x v="3"/>
    <n v="696.68046574207699"/>
  </r>
  <r>
    <x v="1"/>
    <n v="695.11221893532002"/>
  </r>
  <r>
    <x v="2"/>
    <n v="669.37549034357301"/>
  </r>
  <r>
    <x v="1"/>
    <n v="663.36226434909599"/>
  </r>
  <r>
    <x v="1"/>
    <n v="660.45277403917498"/>
  </r>
  <r>
    <x v="1"/>
    <n v="658.437303185921"/>
  </r>
  <r>
    <x v="2"/>
    <n v="656.41320432561895"/>
  </r>
  <r>
    <x v="1"/>
    <n v="622.978819045254"/>
  </r>
  <r>
    <x v="2"/>
    <n v="618.46916320055902"/>
  </r>
  <r>
    <x v="4"/>
    <n v="618.46916320055902"/>
  </r>
  <r>
    <x v="1"/>
    <n v="618.46916320055902"/>
  </r>
  <r>
    <x v="1"/>
    <n v="618.26118861472298"/>
  </r>
  <r>
    <x v="0"/>
    <n v="611.78021298985504"/>
  </r>
  <r>
    <x v="2"/>
    <n v="587.12550469514304"/>
  </r>
  <r>
    <x v="1"/>
    <n v="585.70548688299095"/>
  </r>
  <r>
    <x v="0"/>
    <n v="585.70548688299095"/>
  </r>
  <r>
    <x v="1"/>
    <n v="573.59310641522097"/>
  </r>
  <r>
    <x v="1"/>
    <n v="568.043827367532"/>
  </r>
  <r>
    <x v="2"/>
    <n v="557.76850075566699"/>
  </r>
  <r>
    <x v="3"/>
    <n v="554.55985157139605"/>
  </r>
  <r>
    <x v="1"/>
    <n v="540"/>
  </r>
  <r>
    <x v="0"/>
    <n v="538.64632985466994"/>
  </r>
  <r>
    <x v="2"/>
    <n v="525.484036012773"/>
  </r>
  <r>
    <x v="0"/>
    <n v="520"/>
  </r>
  <r>
    <x v="2"/>
    <n v="519.83410220161397"/>
  </r>
  <r>
    <x v="3"/>
    <n v="491.25198529020702"/>
  </r>
  <r>
    <x v="0"/>
    <n v="481.26238537476303"/>
  </r>
  <r>
    <x v="2"/>
    <n v="480.23697380661099"/>
  </r>
  <r>
    <x v="1"/>
    <n v="479.44845860386903"/>
  </r>
  <r>
    <x v="3"/>
    <n v="475.98940927973598"/>
  </r>
  <r>
    <x v="1"/>
    <n v="475.75609455991997"/>
  </r>
  <r>
    <x v="0"/>
    <n v="474.41659405202802"/>
  </r>
  <r>
    <x v="2"/>
    <n v="469.60288500642997"/>
  </r>
  <r>
    <x v="1"/>
    <n v="460.89489546675702"/>
  </r>
  <r>
    <x v="1"/>
    <n v="459.28476549100799"/>
  </r>
  <r>
    <x v="0"/>
    <n v="459.28476549100799"/>
  </r>
  <r>
    <x v="1"/>
    <n v="450"/>
  </r>
  <r>
    <x v="0"/>
    <n v="443.98998918419301"/>
  </r>
  <r>
    <x v="4"/>
    <n v="440.00135868523699"/>
  </r>
  <r>
    <x v="3"/>
    <n v="430.43241699550202"/>
  </r>
  <r>
    <x v="4"/>
    <n v="430"/>
  </r>
  <r>
    <x v="0"/>
    <n v="420.045319673412"/>
  </r>
  <r>
    <x v="1"/>
    <n v="415.04744091550998"/>
  </r>
  <r>
    <x v="1"/>
    <n v="398.09270556066099"/>
  </r>
  <r>
    <x v="1"/>
    <n v="395.91958481062102"/>
  </r>
  <r>
    <x v="2"/>
    <n v="392.04033943938202"/>
  </r>
  <r>
    <x v="1"/>
    <n v="386.011424105174"/>
  </r>
  <r>
    <x v="1"/>
    <n v="374.47089828204901"/>
  </r>
  <r>
    <x v="4"/>
    <n v="373.65406767253199"/>
  </r>
  <r>
    <x v="3"/>
    <n v="371.80432355577398"/>
  </r>
  <r>
    <x v="1"/>
    <n v="369.16325329443299"/>
  </r>
  <r>
    <x v="1"/>
    <n v="367.73734548621502"/>
  </r>
  <r>
    <x v="3"/>
    <n v="363.01661683714099"/>
  </r>
  <r>
    <x v="1"/>
    <n v="359.97713098893701"/>
  </r>
  <r>
    <x v="1"/>
    <n v="356.91702389710002"/>
  </r>
  <r>
    <x v="1"/>
    <n v="350.76710902160499"/>
  </r>
  <r>
    <x v="4"/>
    <n v="344.20781899791899"/>
  </r>
  <r>
    <x v="2"/>
    <n v="321.13619824797001"/>
  </r>
  <r>
    <x v="1"/>
    <n v="317.14524622461403"/>
  </r>
  <r>
    <x v="4"/>
    <n v="308.34884938781101"/>
  </r>
  <r>
    <x v="1"/>
    <n v="300.808682375297"/>
  </r>
  <r>
    <x v="1"/>
    <n v="295.36425398299599"/>
  </r>
  <r>
    <x v="2"/>
    <n v="283.017642554421"/>
  </r>
  <r>
    <x v="4"/>
    <n v="278.88749449666398"/>
  </r>
  <r>
    <x v="0"/>
    <n v="272.81530034096198"/>
  </r>
  <r>
    <x v="4"/>
    <n v="268.073967615838"/>
  </r>
  <r>
    <x v="2"/>
    <n v="242.10715510196599"/>
  </r>
  <r>
    <x v="0"/>
    <n v="234.029260524927"/>
  </r>
  <r>
    <x v="0"/>
    <n v="220.573894709874"/>
  </r>
  <r>
    <x v="2"/>
    <n v="217.27134317407501"/>
  </r>
  <r>
    <x v="2"/>
    <n v="198.516375375194"/>
  </r>
  <r>
    <x v="1"/>
    <n v="194.76043370859199"/>
  </r>
  <r>
    <x v="4"/>
    <n v="159.04619252292301"/>
  </r>
  <r>
    <x v="0"/>
    <n v="153.381169538802"/>
  </r>
  <r>
    <x v="2"/>
    <n v="151.15038470408601"/>
  </r>
  <r>
    <x v="1"/>
    <n v="144.61121434189499"/>
  </r>
  <r>
    <x v="1"/>
    <n v="127.363789032357"/>
  </r>
  <r>
    <x v="1"/>
    <n v="127.363789032357"/>
  </r>
  <r>
    <x v="4"/>
    <n v="125.799546208362"/>
  </r>
  <r>
    <x v="1"/>
    <n v="120.62753324200899"/>
  </r>
  <r>
    <x v="3"/>
    <n v="120"/>
  </r>
  <r>
    <x v="1"/>
    <n v="90.522945695275496"/>
  </r>
  <r>
    <x v="0"/>
    <n v="90"/>
  </r>
  <r>
    <x v="0"/>
    <n v="85.340273519963603"/>
  </r>
  <r>
    <x v="1"/>
    <n v="78.5469795729921"/>
  </r>
  <r>
    <x v="0"/>
    <n v="76.989638932025997"/>
  </r>
  <r>
    <x v="2"/>
    <n v="76.989638932025997"/>
  </r>
  <r>
    <x v="4"/>
    <n v="74.678311268991195"/>
  </r>
  <r>
    <x v="4"/>
    <n v="62.158911812909501"/>
  </r>
  <r>
    <x v="2"/>
    <n v="36.684701848330697"/>
  </r>
  <r>
    <x v="1"/>
    <n v="30.688579780824799"/>
  </r>
  <r>
    <x v="0"/>
    <n v="4.7349788780394197"/>
  </r>
  <r>
    <x v="1"/>
    <m/>
  </r>
  <r>
    <x v="0"/>
    <m/>
  </r>
  <r>
    <x v="1"/>
    <m/>
  </r>
  <r>
    <x v="2"/>
    <m/>
  </r>
  <r>
    <x v="1"/>
    <m/>
  </r>
  <r>
    <x v="3"/>
    <m/>
  </r>
  <r>
    <x v="4"/>
    <m/>
  </r>
  <r>
    <x v="1"/>
    <m/>
  </r>
  <r>
    <x v="3"/>
    <m/>
  </r>
  <r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x v="0"/>
    <n v="123000"/>
  </r>
  <r>
    <x v="1"/>
    <n v="120000"/>
  </r>
  <r>
    <x v="0"/>
    <n v="95000"/>
  </r>
  <r>
    <x v="1"/>
    <n v="90000"/>
  </r>
  <r>
    <x v="2"/>
    <n v="78000"/>
  </r>
  <r>
    <x v="1"/>
    <n v="56000"/>
  </r>
  <r>
    <x v="3"/>
    <n v="54000"/>
  </r>
  <r>
    <x v="2"/>
    <n v="50000"/>
  </r>
  <r>
    <x v="1"/>
    <n v="45000"/>
  </r>
  <r>
    <x v="1"/>
    <n v="44000"/>
  </r>
  <r>
    <x v="0"/>
    <n v="34000"/>
  </r>
  <r>
    <x v="3"/>
    <n v="29370"/>
  </r>
  <r>
    <x v="0"/>
    <n v="25000"/>
  </r>
  <r>
    <x v="1"/>
    <n v="25000"/>
  </r>
  <r>
    <x v="4"/>
    <n v="23000"/>
  </r>
  <r>
    <x v="4"/>
    <n v="18000"/>
  </r>
  <r>
    <x v="2"/>
    <n v="17500"/>
  </r>
  <r>
    <x v="4"/>
    <n v="17000"/>
  </r>
  <r>
    <x v="1"/>
    <n v="17000"/>
  </r>
  <r>
    <x v="3"/>
    <n v="15000"/>
  </r>
  <r>
    <x v="0"/>
    <n v="14000"/>
  </r>
  <r>
    <x v="2"/>
    <n v="13500"/>
  </r>
  <r>
    <x v="1"/>
    <n v="13000"/>
  </r>
  <r>
    <x v="2"/>
    <n v="12000"/>
  </r>
  <r>
    <x v="1"/>
    <n v="10000"/>
  </r>
  <r>
    <x v="3"/>
    <n v="9929.4319131085595"/>
  </r>
  <r>
    <x v="1"/>
    <n v="9891.8248113452501"/>
  </r>
  <r>
    <x v="2"/>
    <n v="9851.8259493926707"/>
  </r>
  <r>
    <x v="1"/>
    <n v="9821.6898489904106"/>
  </r>
  <r>
    <x v="1"/>
    <n v="9810.3021037234394"/>
  </r>
  <r>
    <x v="2"/>
    <n v="9800"/>
  </r>
  <r>
    <x v="1"/>
    <n v="9800"/>
  </r>
  <r>
    <x v="2"/>
    <n v="9800"/>
  </r>
  <r>
    <x v="4"/>
    <n v="9741.8851595885608"/>
  </r>
  <r>
    <x v="2"/>
    <n v="9675.4025029014301"/>
  </r>
  <r>
    <x v="1"/>
    <n v="9626.6635727363991"/>
  </r>
  <r>
    <x v="2"/>
    <n v="9600"/>
  </r>
  <r>
    <x v="1"/>
    <n v="9557.1452255059903"/>
  </r>
  <r>
    <x v="4"/>
    <n v="9500"/>
  </r>
  <r>
    <x v="3"/>
    <n v="9500"/>
  </r>
  <r>
    <x v="3"/>
    <n v="9500"/>
  </r>
  <r>
    <x v="3"/>
    <n v="9500"/>
  </r>
  <r>
    <x v="4"/>
    <n v="9500"/>
  </r>
  <r>
    <x v="3"/>
    <n v="9500"/>
  </r>
  <r>
    <x v="1"/>
    <n v="9500"/>
  </r>
  <r>
    <x v="1"/>
    <n v="9500"/>
  </r>
  <r>
    <x v="0"/>
    <n v="9500"/>
  </r>
  <r>
    <x v="4"/>
    <n v="9500"/>
  </r>
  <r>
    <x v="1"/>
    <n v="9500"/>
  </r>
  <r>
    <x v="2"/>
    <n v="9500"/>
  </r>
  <r>
    <x v="1"/>
    <n v="9500"/>
  </r>
  <r>
    <x v="0"/>
    <n v="9500"/>
  </r>
  <r>
    <x v="1"/>
    <n v="9500"/>
  </r>
  <r>
    <x v="1"/>
    <n v="9500"/>
  </r>
  <r>
    <x v="4"/>
    <n v="9500"/>
  </r>
  <r>
    <x v="3"/>
    <n v="9500"/>
  </r>
  <r>
    <x v="1"/>
    <n v="9500"/>
  </r>
  <r>
    <x v="1"/>
    <n v="9500"/>
  </r>
  <r>
    <x v="1"/>
    <n v="9500"/>
  </r>
  <r>
    <x v="4"/>
    <n v="9500"/>
  </r>
  <r>
    <x v="1"/>
    <n v="9500"/>
  </r>
  <r>
    <x v="0"/>
    <n v="9500"/>
  </r>
  <r>
    <x v="0"/>
    <n v="9500"/>
  </r>
  <r>
    <x v="3"/>
    <n v="9500"/>
  </r>
  <r>
    <x v="2"/>
    <n v="9500"/>
  </r>
  <r>
    <x v="1"/>
    <n v="9500"/>
  </r>
  <r>
    <x v="1"/>
    <n v="9500"/>
  </r>
  <r>
    <x v="1"/>
    <n v="9500"/>
  </r>
  <r>
    <x v="4"/>
    <n v="9500"/>
  </r>
  <r>
    <x v="3"/>
    <n v="9500"/>
  </r>
  <r>
    <x v="2"/>
    <n v="9500"/>
  </r>
  <r>
    <x v="1"/>
    <n v="9500"/>
  </r>
  <r>
    <x v="1"/>
    <n v="9500"/>
  </r>
  <r>
    <x v="1"/>
    <n v="9500"/>
  </r>
  <r>
    <x v="1"/>
    <n v="9500"/>
  </r>
  <r>
    <x v="1"/>
    <n v="9500"/>
  </r>
  <r>
    <x v="0"/>
    <n v="9500"/>
  </r>
  <r>
    <x v="3"/>
    <n v="9500"/>
  </r>
  <r>
    <x v="2"/>
    <n v="9500"/>
  </r>
  <r>
    <x v="4"/>
    <n v="9500"/>
  </r>
  <r>
    <x v="0"/>
    <n v="9500"/>
  </r>
  <r>
    <x v="1"/>
    <n v="9500"/>
  </r>
  <r>
    <x v="1"/>
    <n v="9500"/>
  </r>
  <r>
    <x v="1"/>
    <n v="9500"/>
  </r>
  <r>
    <x v="0"/>
    <n v="9500"/>
  </r>
  <r>
    <x v="1"/>
    <n v="9500"/>
  </r>
  <r>
    <x v="1"/>
    <n v="9500"/>
  </r>
  <r>
    <x v="2"/>
    <n v="9500"/>
  </r>
  <r>
    <x v="3"/>
    <n v="9500"/>
  </r>
  <r>
    <x v="2"/>
    <n v="9500"/>
  </r>
  <r>
    <x v="0"/>
    <n v="9500"/>
  </r>
  <r>
    <x v="1"/>
    <n v="9500"/>
  </r>
  <r>
    <x v="4"/>
    <n v="9500"/>
  </r>
  <r>
    <x v="4"/>
    <n v="9500"/>
  </r>
  <r>
    <x v="1"/>
    <n v="9500"/>
  </r>
  <r>
    <x v="1"/>
    <n v="9500"/>
  </r>
  <r>
    <x v="1"/>
    <n v="9500"/>
  </r>
  <r>
    <x v="0"/>
    <n v="9500"/>
  </r>
  <r>
    <x v="3"/>
    <n v="9500"/>
  </r>
  <r>
    <x v="1"/>
    <n v="9500"/>
  </r>
  <r>
    <x v="3"/>
    <n v="9500"/>
  </r>
  <r>
    <x v="2"/>
    <n v="9500"/>
  </r>
  <r>
    <x v="4"/>
    <n v="9500"/>
  </r>
  <r>
    <x v="3"/>
    <n v="9500"/>
  </r>
  <r>
    <x v="4"/>
    <n v="9500"/>
  </r>
  <r>
    <x v="4"/>
    <n v="9500"/>
  </r>
  <r>
    <x v="2"/>
    <n v="9500"/>
  </r>
  <r>
    <x v="4"/>
    <n v="9500"/>
  </r>
  <r>
    <x v="4"/>
    <n v="9500"/>
  </r>
  <r>
    <x v="1"/>
    <n v="9500"/>
  </r>
  <r>
    <x v="2"/>
    <n v="9500"/>
  </r>
  <r>
    <x v="0"/>
    <n v="9500"/>
  </r>
  <r>
    <x v="4"/>
    <n v="9500"/>
  </r>
  <r>
    <x v="0"/>
    <n v="9500"/>
  </r>
  <r>
    <x v="1"/>
    <n v="9500"/>
  </r>
  <r>
    <x v="2"/>
    <n v="9500"/>
  </r>
  <r>
    <x v="1"/>
    <n v="9500"/>
  </r>
  <r>
    <x v="2"/>
    <n v="9500"/>
  </r>
  <r>
    <x v="4"/>
    <n v="9500"/>
  </r>
  <r>
    <x v="2"/>
    <n v="9500"/>
  </r>
  <r>
    <x v="0"/>
    <n v="9500"/>
  </r>
  <r>
    <x v="1"/>
    <n v="9500"/>
  </r>
  <r>
    <x v="3"/>
    <n v="9500"/>
  </r>
  <r>
    <x v="0"/>
    <n v="9500"/>
  </r>
  <r>
    <x v="1"/>
    <n v="9500"/>
  </r>
  <r>
    <x v="1"/>
    <n v="9500"/>
  </r>
  <r>
    <x v="1"/>
    <n v="9500"/>
  </r>
  <r>
    <x v="3"/>
    <n v="9500"/>
  </r>
  <r>
    <x v="0"/>
    <n v="9497.6640579601208"/>
  </r>
  <r>
    <x v="0"/>
    <n v="9487.1235244924701"/>
  </r>
  <r>
    <x v="2"/>
    <n v="9475.2265321114992"/>
  </r>
  <r>
    <x v="0"/>
    <n v="9389.9050222972492"/>
  </r>
  <r>
    <x v="4"/>
    <n v="9370"/>
  </r>
  <r>
    <x v="2"/>
    <n v="9357.6047552103901"/>
  </r>
  <r>
    <x v="3"/>
    <n v="9164.4125319253599"/>
  </r>
  <r>
    <x v="3"/>
    <n v="9063.5736026266095"/>
  </r>
  <r>
    <x v="3"/>
    <n v="8846.8605197051202"/>
  </r>
  <r>
    <x v="1"/>
    <n v="8786.5886832576198"/>
  </r>
  <r>
    <x v="2"/>
    <n v="8758.8392130253997"/>
  </r>
  <r>
    <x v="1"/>
    <n v="8746.9900549941704"/>
  </r>
  <r>
    <x v="1"/>
    <n v="8700"/>
  </r>
  <r>
    <x v="0"/>
    <n v="8500"/>
  </r>
  <r>
    <x v="4"/>
    <n v="8500"/>
  </r>
  <r>
    <x v="2"/>
    <n v="8477.6607156913797"/>
  </r>
  <r>
    <x v="4"/>
    <n v="8469.1889982048706"/>
  </r>
  <r>
    <x v="4"/>
    <n v="8326.3702513058906"/>
  </r>
  <r>
    <x v="0"/>
    <n v="8304.3653221610493"/>
  </r>
  <r>
    <x v="2"/>
    <n v="8230"/>
  </r>
  <r>
    <x v="4"/>
    <n v="7600"/>
  </r>
  <r>
    <x v="0"/>
    <n v="7600"/>
  </r>
  <r>
    <x v="2"/>
    <n v="7500"/>
  </r>
  <r>
    <x v="2"/>
    <n v="7500"/>
  </r>
  <r>
    <x v="1"/>
    <n v="7500"/>
  </r>
  <r>
    <x v="1"/>
    <n v="7500"/>
  </r>
  <r>
    <x v="4"/>
    <n v="7500"/>
  </r>
  <r>
    <x v="1"/>
    <n v="7400"/>
  </r>
  <r>
    <x v="0"/>
    <n v="7379.4751912537204"/>
  </r>
  <r>
    <x v="0"/>
    <n v="7300"/>
  </r>
  <r>
    <x v="0"/>
    <n v="7119.9580914626404"/>
  </r>
  <r>
    <x v="2"/>
    <n v="7097.8406167323101"/>
  </r>
  <r>
    <x v="0"/>
    <n v="6989.9171180343901"/>
  </r>
  <r>
    <x v="1"/>
    <n v="6851.2632038280199"/>
  </r>
  <r>
    <x v="1"/>
    <n v="6708.7920139287598"/>
  </r>
  <r>
    <x v="0"/>
    <n v="6540"/>
  </r>
  <r>
    <x v="0"/>
    <n v="6514.7905032278204"/>
  </r>
  <r>
    <x v="1"/>
    <n v="6465.7289434037602"/>
  </r>
  <r>
    <x v="1"/>
    <n v="6400.49730467064"/>
  </r>
  <r>
    <x v="1"/>
    <n v="6318.79431730546"/>
  </r>
  <r>
    <x v="3"/>
    <n v="6300"/>
  </r>
  <r>
    <x v="1"/>
    <n v="6273.8918029696097"/>
  </r>
  <r>
    <x v="0"/>
    <n v="6190.0231423895402"/>
  </r>
  <r>
    <x v="1"/>
    <n v="6163.97775606916"/>
  </r>
  <r>
    <x v="1"/>
    <n v="6075.4086339712203"/>
  </r>
  <r>
    <x v="1"/>
    <n v="6063.3841775421897"/>
  </r>
  <r>
    <x v="1"/>
    <n v="6000"/>
  </r>
  <r>
    <x v="0"/>
    <n v="5728.3587570766304"/>
  </r>
  <r>
    <x v="1"/>
    <n v="5614.7168288129496"/>
  </r>
  <r>
    <x v="3"/>
    <n v="5614.7168288129496"/>
  </r>
  <r>
    <x v="1"/>
    <n v="5600"/>
  </r>
  <r>
    <x v="0"/>
    <n v="5512.8263999426299"/>
  </r>
  <r>
    <x v="1"/>
    <n v="5400"/>
  </r>
  <r>
    <x v="1"/>
    <n v="5400"/>
  </r>
  <r>
    <x v="2"/>
    <n v="5300"/>
  </r>
  <r>
    <x v="1"/>
    <n v="5261.0190876246797"/>
  </r>
  <r>
    <x v="4"/>
    <n v="5239.2522577125101"/>
  </r>
  <r>
    <x v="1"/>
    <n v="5163.5156268235496"/>
  </r>
  <r>
    <x v="3"/>
    <n v="5148.6223896095498"/>
  </r>
  <r>
    <x v="1"/>
    <n v="5096.5701893169598"/>
  </r>
  <r>
    <x v="2"/>
    <n v="5000"/>
  </r>
  <r>
    <x v="0"/>
    <n v="4963.4252764708399"/>
  </r>
  <r>
    <x v="4"/>
    <n v="4792.56563771321"/>
  </r>
  <r>
    <x v="1"/>
    <n v="4781.1190331909002"/>
  </r>
  <r>
    <x v="0"/>
    <n v="4766.3312088702296"/>
  </r>
  <r>
    <x v="0"/>
    <n v="4671.3122754826099"/>
  </r>
  <r>
    <x v="2"/>
    <n v="4410.8742035303403"/>
  </r>
  <r>
    <x v="2"/>
    <n v="4356.8076140807198"/>
  </r>
  <r>
    <x v="2"/>
    <n v="4211.7216071495504"/>
  </r>
  <r>
    <x v="4"/>
    <n v="4148.4602702345501"/>
  </r>
  <r>
    <x v="1"/>
    <n v="4000"/>
  </r>
  <r>
    <x v="1"/>
    <n v="3760"/>
  </r>
  <r>
    <x v="1"/>
    <n v="3595.7813250254299"/>
  </r>
  <r>
    <x v="0"/>
    <n v="3200"/>
  </r>
  <r>
    <x v="3"/>
    <n v="3103.0946472095602"/>
  </r>
  <r>
    <x v="3"/>
    <n v="2910"/>
  </r>
  <r>
    <x v="2"/>
    <n v="2903.4006600949201"/>
  </r>
  <r>
    <x v="3"/>
    <n v="2891.54626529602"/>
  </r>
  <r>
    <x v="0"/>
    <n v="2855.0579108358902"/>
  </r>
  <r>
    <x v="2"/>
    <n v="2724.84817491801"/>
  </r>
  <r>
    <x v="1"/>
    <n v="2711.3178299134702"/>
  </r>
  <r>
    <x v="3"/>
    <n v="2700"/>
  </r>
  <r>
    <x v="1"/>
    <n v="2637.4090115506601"/>
  </r>
  <r>
    <x v="3"/>
    <n v="2568.5583578583201"/>
  </r>
  <r>
    <x v="2"/>
    <n v="2500.9726636466798"/>
  </r>
  <r>
    <x v="4"/>
    <n v="2500"/>
  </r>
  <r>
    <x v="1"/>
    <n v="2500"/>
  </r>
  <r>
    <x v="1"/>
    <n v="2368.6366242868098"/>
  </r>
  <r>
    <x v="4"/>
    <n v="2322.9565305414499"/>
  </r>
  <r>
    <x v="3"/>
    <n v="2282.4949048252702"/>
  </r>
  <r>
    <x v="0"/>
    <n v="2189.0701284622"/>
  </r>
  <r>
    <x v="1"/>
    <n v="2091.4132798554401"/>
  </r>
  <r>
    <x v="0"/>
    <n v="1928"/>
  </r>
  <r>
    <x v="1"/>
    <n v="1780"/>
  </r>
  <r>
    <x v="1"/>
    <n v="1759.7296563785601"/>
  </r>
  <r>
    <x v="0"/>
    <n v="1737.93385616602"/>
  </r>
  <r>
    <x v="1"/>
    <n v="1721.9062905217099"/>
  </r>
  <r>
    <x v="0"/>
    <n v="1700"/>
  </r>
  <r>
    <x v="4"/>
    <n v="1678.0982450407901"/>
  </r>
  <r>
    <x v="3"/>
    <n v="1568.60559764608"/>
  </r>
  <r>
    <x v="1"/>
    <n v="1513.3436847289099"/>
  </r>
  <r>
    <x v="2"/>
    <n v="1500"/>
  </r>
  <r>
    <x v="4"/>
    <n v="1500"/>
  </r>
  <r>
    <x v="1"/>
    <n v="1500"/>
  </r>
  <r>
    <x v="4"/>
    <n v="1500"/>
  </r>
  <r>
    <x v="0"/>
    <n v="1500"/>
  </r>
  <r>
    <x v="1"/>
    <n v="1500"/>
  </r>
  <r>
    <x v="2"/>
    <n v="1500"/>
  </r>
  <r>
    <x v="4"/>
    <n v="1500"/>
  </r>
  <r>
    <x v="1"/>
    <n v="1500"/>
  </r>
  <r>
    <x v="1"/>
    <n v="1500"/>
  </r>
  <r>
    <x v="2"/>
    <n v="1500"/>
  </r>
  <r>
    <x v="0"/>
    <n v="1500"/>
  </r>
  <r>
    <x v="4"/>
    <n v="1500"/>
  </r>
  <r>
    <x v="3"/>
    <n v="1500"/>
  </r>
  <r>
    <x v="0"/>
    <n v="1500"/>
  </r>
  <r>
    <x v="1"/>
    <n v="1500"/>
  </r>
  <r>
    <x v="2"/>
    <n v="1500"/>
  </r>
  <r>
    <x v="4"/>
    <n v="1500"/>
  </r>
  <r>
    <x v="1"/>
    <n v="1500"/>
  </r>
  <r>
    <x v="1"/>
    <n v="1500"/>
  </r>
  <r>
    <x v="1"/>
    <n v="1500"/>
  </r>
  <r>
    <x v="3"/>
    <n v="1500"/>
  </r>
  <r>
    <x v="2"/>
    <n v="1500"/>
  </r>
  <r>
    <x v="4"/>
    <n v="1500"/>
  </r>
  <r>
    <x v="2"/>
    <n v="1500"/>
  </r>
  <r>
    <x v="0"/>
    <n v="1500"/>
  </r>
  <r>
    <x v="1"/>
    <n v="1500"/>
  </r>
  <r>
    <x v="1"/>
    <n v="1500"/>
  </r>
  <r>
    <x v="1"/>
    <n v="1500"/>
  </r>
  <r>
    <x v="1"/>
    <n v="1500"/>
  </r>
  <r>
    <x v="3"/>
    <n v="1500"/>
  </r>
  <r>
    <x v="0"/>
    <n v="1500"/>
  </r>
  <r>
    <x v="0"/>
    <n v="1500"/>
  </r>
  <r>
    <x v="1"/>
    <n v="1500"/>
  </r>
  <r>
    <x v="3"/>
    <n v="1500"/>
  </r>
  <r>
    <x v="2"/>
    <n v="1500"/>
  </r>
  <r>
    <x v="1"/>
    <n v="1500"/>
  </r>
  <r>
    <x v="0"/>
    <n v="1500"/>
  </r>
  <r>
    <x v="1"/>
    <n v="1500"/>
  </r>
  <r>
    <x v="4"/>
    <n v="1500"/>
  </r>
  <r>
    <x v="3"/>
    <n v="1500"/>
  </r>
  <r>
    <x v="4"/>
    <n v="1500"/>
  </r>
  <r>
    <x v="0"/>
    <n v="1500"/>
  </r>
  <r>
    <x v="1"/>
    <n v="1500"/>
  </r>
  <r>
    <x v="3"/>
    <n v="1500"/>
  </r>
  <r>
    <x v="2"/>
    <n v="1500"/>
  </r>
  <r>
    <x v="4"/>
    <n v="1500"/>
  </r>
  <r>
    <x v="2"/>
    <n v="1500"/>
  </r>
  <r>
    <x v="2"/>
    <n v="1500"/>
  </r>
  <r>
    <x v="0"/>
    <n v="1500"/>
  </r>
  <r>
    <x v="4"/>
    <n v="1500"/>
  </r>
  <r>
    <x v="1"/>
    <n v="1500"/>
  </r>
  <r>
    <x v="0"/>
    <n v="1500"/>
  </r>
  <r>
    <x v="3"/>
    <n v="1500"/>
  </r>
  <r>
    <x v="2"/>
    <n v="1500"/>
  </r>
  <r>
    <x v="0"/>
    <n v="1500"/>
  </r>
  <r>
    <x v="1"/>
    <n v="1500"/>
  </r>
  <r>
    <x v="0"/>
    <n v="1500"/>
  </r>
  <r>
    <x v="0"/>
    <n v="1500"/>
  </r>
  <r>
    <x v="1"/>
    <n v="1500"/>
  </r>
  <r>
    <x v="1"/>
    <n v="1500"/>
  </r>
  <r>
    <x v="0"/>
    <n v="1500"/>
  </r>
  <r>
    <x v="1"/>
    <n v="1500"/>
  </r>
  <r>
    <x v="1"/>
    <n v="1500"/>
  </r>
  <r>
    <x v="1"/>
    <n v="1500"/>
  </r>
  <r>
    <x v="4"/>
    <n v="1500"/>
  </r>
  <r>
    <x v="2"/>
    <n v="1500"/>
  </r>
  <r>
    <x v="1"/>
    <n v="1500"/>
  </r>
  <r>
    <x v="0"/>
    <n v="1500"/>
  </r>
  <r>
    <x v="1"/>
    <n v="1500"/>
  </r>
  <r>
    <x v="1"/>
    <n v="1500"/>
  </r>
  <r>
    <x v="1"/>
    <n v="1500"/>
  </r>
  <r>
    <x v="1"/>
    <n v="1500"/>
  </r>
  <r>
    <x v="1"/>
    <n v="1500"/>
  </r>
  <r>
    <x v="2"/>
    <n v="1500"/>
  </r>
  <r>
    <x v="0"/>
    <n v="1500"/>
  </r>
  <r>
    <x v="1"/>
    <n v="1500"/>
  </r>
  <r>
    <x v="2"/>
    <n v="1500"/>
  </r>
  <r>
    <x v="0"/>
    <n v="1500"/>
  </r>
  <r>
    <x v="1"/>
    <n v="1500"/>
  </r>
  <r>
    <x v="0"/>
    <n v="1500"/>
  </r>
  <r>
    <x v="1"/>
    <n v="1500"/>
  </r>
  <r>
    <x v="1"/>
    <n v="1500"/>
  </r>
  <r>
    <x v="2"/>
    <n v="1500"/>
  </r>
  <r>
    <x v="1"/>
    <n v="1500"/>
  </r>
  <r>
    <x v="1"/>
    <n v="1500"/>
  </r>
  <r>
    <x v="1"/>
    <n v="1500"/>
  </r>
  <r>
    <x v="1"/>
    <n v="1500"/>
  </r>
  <r>
    <x v="0"/>
    <n v="1500"/>
  </r>
  <r>
    <x v="0"/>
    <n v="1500"/>
  </r>
  <r>
    <x v="1"/>
    <n v="1500"/>
  </r>
  <r>
    <x v="4"/>
    <n v="1500"/>
  </r>
  <r>
    <x v="4"/>
    <n v="1500"/>
  </r>
  <r>
    <x v="1"/>
    <n v="1500"/>
  </r>
  <r>
    <x v="3"/>
    <n v="1500"/>
  </r>
  <r>
    <x v="0"/>
    <n v="1500"/>
  </r>
  <r>
    <x v="1"/>
    <n v="1500"/>
  </r>
  <r>
    <x v="2"/>
    <n v="1500"/>
  </r>
  <r>
    <x v="1"/>
    <n v="1500"/>
  </r>
  <r>
    <x v="4"/>
    <n v="1500"/>
  </r>
  <r>
    <x v="0"/>
    <n v="1500"/>
  </r>
  <r>
    <x v="3"/>
    <n v="1500"/>
  </r>
  <r>
    <x v="2"/>
    <n v="1450"/>
  </r>
  <r>
    <x v="1"/>
    <n v="1438.83877847331"/>
  </r>
  <r>
    <x v="3"/>
    <n v="1382.2721408191301"/>
  </r>
  <r>
    <x v="1"/>
    <n v="1379.9788345776501"/>
  </r>
  <r>
    <x v="3"/>
    <n v="1288.2023216088701"/>
  </r>
  <r>
    <x v="1"/>
    <n v="1288.2023216088701"/>
  </r>
  <r>
    <x v="1"/>
    <n v="1230"/>
  </r>
  <r>
    <x v="1"/>
    <n v="1230"/>
  </r>
  <r>
    <x v="0"/>
    <n v="1227.0815730372401"/>
  </r>
  <r>
    <x v="1"/>
    <n v="1200"/>
  </r>
  <r>
    <x v="0"/>
    <n v="1025.80439546911"/>
  </r>
  <r>
    <x v="0"/>
    <n v="1000"/>
  </r>
  <r>
    <x v="4"/>
    <n v="1000"/>
  </r>
  <r>
    <x v="3"/>
    <n v="1000"/>
  </r>
  <r>
    <x v="1"/>
    <n v="1000"/>
  </r>
  <r>
    <x v="3"/>
    <n v="1000"/>
  </r>
  <r>
    <x v="3"/>
    <n v="1000"/>
  </r>
  <r>
    <x v="0"/>
    <n v="1000"/>
  </r>
  <r>
    <x v="1"/>
    <n v="972.09324437361602"/>
  </r>
  <r>
    <x v="4"/>
    <n v="969.30685053361901"/>
  </r>
  <r>
    <x v="4"/>
    <n v="957.29252547226599"/>
  </r>
  <r>
    <x v="1"/>
    <n v="951.178865328548"/>
  </r>
  <r>
    <x v="4"/>
    <n v="942.86936174279003"/>
  </r>
  <r>
    <x v="2"/>
    <n v="939.54715055173597"/>
  </r>
  <r>
    <x v="4"/>
    <n v="933.45756551658803"/>
  </r>
  <r>
    <x v="2"/>
    <n v="921.05159041783804"/>
  </r>
  <r>
    <x v="1"/>
    <n v="906.46890391195802"/>
  </r>
  <r>
    <x v="0"/>
    <n v="899.65041589135501"/>
  </r>
  <r>
    <x v="1"/>
    <n v="851.98983398164103"/>
  </r>
  <r>
    <x v="0"/>
    <n v="850"/>
  </r>
  <r>
    <x v="4"/>
    <n v="850"/>
  </r>
  <r>
    <x v="3"/>
    <n v="840"/>
  </r>
  <r>
    <x v="0"/>
    <n v="812.99942048489299"/>
  </r>
  <r>
    <x v="4"/>
    <n v="807.57771146249695"/>
  </r>
  <r>
    <x v="2"/>
    <n v="788.64829000980899"/>
  </r>
  <r>
    <x v="1"/>
    <n v="788.30668616620801"/>
  </r>
  <r>
    <x v="0"/>
    <n v="787.681392120895"/>
  </r>
  <r>
    <x v="2"/>
    <n v="775.44589490567898"/>
  </r>
  <r>
    <x v="0"/>
    <n v="773.42060851468204"/>
  </r>
  <r>
    <x v="2"/>
    <n v="767.64074282127797"/>
  </r>
  <r>
    <x v="3"/>
    <n v="767.640591072284"/>
  </r>
  <r>
    <x v="4"/>
    <n v="753.08604790074503"/>
  </r>
  <r>
    <x v="3"/>
    <n v="750"/>
  </r>
  <r>
    <x v="3"/>
    <n v="745.978642305829"/>
  </r>
  <r>
    <x v="1"/>
    <n v="726"/>
  </r>
  <r>
    <x v="1"/>
    <n v="704.224078713214"/>
  </r>
  <r>
    <x v="4"/>
    <n v="702.66497333966004"/>
  </r>
  <r>
    <x v="2"/>
    <n v="700"/>
  </r>
  <r>
    <x v="3"/>
    <n v="696.68046574207699"/>
  </r>
  <r>
    <x v="1"/>
    <n v="695.11221893532002"/>
  </r>
  <r>
    <x v="2"/>
    <n v="669.37549034357301"/>
  </r>
  <r>
    <x v="1"/>
    <n v="663.36226434909599"/>
  </r>
  <r>
    <x v="1"/>
    <n v="660.45277403917498"/>
  </r>
  <r>
    <x v="1"/>
    <n v="658.437303185921"/>
  </r>
  <r>
    <x v="2"/>
    <n v="656.41320432561895"/>
  </r>
  <r>
    <x v="1"/>
    <n v="622.978819045254"/>
  </r>
  <r>
    <x v="2"/>
    <n v="618.46916320055902"/>
  </r>
  <r>
    <x v="4"/>
    <n v="618.46916320055902"/>
  </r>
  <r>
    <x v="1"/>
    <n v="618.46916320055902"/>
  </r>
  <r>
    <x v="1"/>
    <n v="618.26118861472298"/>
  </r>
  <r>
    <x v="0"/>
    <n v="611.78021298985504"/>
  </r>
  <r>
    <x v="2"/>
    <n v="587.12550469514304"/>
  </r>
  <r>
    <x v="1"/>
    <n v="585.70548688299095"/>
  </r>
  <r>
    <x v="0"/>
    <n v="585.70548688299095"/>
  </r>
  <r>
    <x v="1"/>
    <n v="573.59310641522097"/>
  </r>
  <r>
    <x v="1"/>
    <n v="568.043827367532"/>
  </r>
  <r>
    <x v="2"/>
    <n v="557.76850075566699"/>
  </r>
  <r>
    <x v="3"/>
    <n v="554.55985157139605"/>
  </r>
  <r>
    <x v="1"/>
    <n v="540"/>
  </r>
  <r>
    <x v="0"/>
    <n v="538.64632985466994"/>
  </r>
  <r>
    <x v="2"/>
    <n v="525.484036012773"/>
  </r>
  <r>
    <x v="0"/>
    <n v="520"/>
  </r>
  <r>
    <x v="2"/>
    <n v="519.83410220161397"/>
  </r>
  <r>
    <x v="3"/>
    <n v="491.25198529020702"/>
  </r>
  <r>
    <x v="0"/>
    <n v="481.26238537476303"/>
  </r>
  <r>
    <x v="2"/>
    <n v="480.23697380661099"/>
  </r>
  <r>
    <x v="1"/>
    <n v="479.44845860386903"/>
  </r>
  <r>
    <x v="3"/>
    <n v="475.98940927973598"/>
  </r>
  <r>
    <x v="1"/>
    <n v="475.75609455991997"/>
  </r>
  <r>
    <x v="0"/>
    <n v="474.41659405202802"/>
  </r>
  <r>
    <x v="2"/>
    <n v="469.60288500642997"/>
  </r>
  <r>
    <x v="1"/>
    <n v="460.89489546675702"/>
  </r>
  <r>
    <x v="1"/>
    <n v="459.28476549100799"/>
  </r>
  <r>
    <x v="0"/>
    <n v="459.28476549100799"/>
  </r>
  <r>
    <x v="1"/>
    <n v="450"/>
  </r>
  <r>
    <x v="0"/>
    <n v="443.98998918419301"/>
  </r>
  <r>
    <x v="4"/>
    <n v="440.00135868523699"/>
  </r>
  <r>
    <x v="3"/>
    <n v="430.43241699550202"/>
  </r>
  <r>
    <x v="4"/>
    <n v="430"/>
  </r>
  <r>
    <x v="0"/>
    <n v="420.045319673412"/>
  </r>
  <r>
    <x v="1"/>
    <n v="415.04744091550998"/>
  </r>
  <r>
    <x v="1"/>
    <n v="398.09270556066099"/>
  </r>
  <r>
    <x v="1"/>
    <n v="395.91958481062102"/>
  </r>
  <r>
    <x v="2"/>
    <n v="392.04033943938202"/>
  </r>
  <r>
    <x v="1"/>
    <n v="386.011424105174"/>
  </r>
  <r>
    <x v="1"/>
    <n v="374.47089828204901"/>
  </r>
  <r>
    <x v="4"/>
    <n v="373.65406767253199"/>
  </r>
  <r>
    <x v="3"/>
    <n v="371.80432355577398"/>
  </r>
  <r>
    <x v="1"/>
    <n v="369.16325329443299"/>
  </r>
  <r>
    <x v="1"/>
    <n v="367.73734548621502"/>
  </r>
  <r>
    <x v="3"/>
    <n v="363.01661683714099"/>
  </r>
  <r>
    <x v="1"/>
    <n v="359.97713098893701"/>
  </r>
  <r>
    <x v="1"/>
    <n v="356.91702389710002"/>
  </r>
  <r>
    <x v="1"/>
    <n v="350.76710902160499"/>
  </r>
  <r>
    <x v="4"/>
    <n v="344.20781899791899"/>
  </r>
  <r>
    <x v="2"/>
    <n v="321.13619824797001"/>
  </r>
  <r>
    <x v="1"/>
    <n v="317.14524622461403"/>
  </r>
  <r>
    <x v="4"/>
    <n v="308.34884938781101"/>
  </r>
  <r>
    <x v="1"/>
    <n v="300.808682375297"/>
  </r>
  <r>
    <x v="1"/>
    <n v="295.36425398299599"/>
  </r>
  <r>
    <x v="2"/>
    <n v="283.017642554421"/>
  </r>
  <r>
    <x v="4"/>
    <n v="278.88749449666398"/>
  </r>
  <r>
    <x v="0"/>
    <n v="272.81530034096198"/>
  </r>
  <r>
    <x v="4"/>
    <n v="268.073967615838"/>
  </r>
  <r>
    <x v="2"/>
    <n v="242.10715510196599"/>
  </r>
  <r>
    <x v="0"/>
    <n v="234.029260524927"/>
  </r>
  <r>
    <x v="0"/>
    <n v="220.573894709874"/>
  </r>
  <r>
    <x v="2"/>
    <n v="217.27134317407501"/>
  </r>
  <r>
    <x v="2"/>
    <n v="198.516375375194"/>
  </r>
  <r>
    <x v="1"/>
    <n v="194.76043370859199"/>
  </r>
  <r>
    <x v="4"/>
    <n v="159.04619252292301"/>
  </r>
  <r>
    <x v="0"/>
    <n v="153.381169538802"/>
  </r>
  <r>
    <x v="2"/>
    <n v="151.15038470408601"/>
  </r>
  <r>
    <x v="1"/>
    <n v="144.61121434189499"/>
  </r>
  <r>
    <x v="1"/>
    <n v="127.363789032357"/>
  </r>
  <r>
    <x v="1"/>
    <n v="127.363789032357"/>
  </r>
  <r>
    <x v="4"/>
    <n v="125.799546208362"/>
  </r>
  <r>
    <x v="1"/>
    <n v="120.62753324200899"/>
  </r>
  <r>
    <x v="3"/>
    <n v="120"/>
  </r>
  <r>
    <x v="1"/>
    <n v="90.522945695275496"/>
  </r>
  <r>
    <x v="0"/>
    <n v="90"/>
  </r>
  <r>
    <x v="0"/>
    <n v="85.340273519963603"/>
  </r>
  <r>
    <x v="1"/>
    <n v="78.5469795729921"/>
  </r>
  <r>
    <x v="0"/>
    <n v="76.989638932025997"/>
  </r>
  <r>
    <x v="2"/>
    <n v="76.989638932025997"/>
  </r>
  <r>
    <x v="4"/>
    <n v="74.678311268991195"/>
  </r>
  <r>
    <x v="4"/>
    <n v="62.158911812909501"/>
  </r>
  <r>
    <x v="2"/>
    <n v="36.684701848330697"/>
  </r>
  <r>
    <x v="1"/>
    <n v="30.688579780824799"/>
  </r>
  <r>
    <x v="0"/>
    <n v="4.7349788780394197"/>
  </r>
  <r>
    <x v="1"/>
    <m/>
  </r>
  <r>
    <x v="0"/>
    <m/>
  </r>
  <r>
    <x v="1"/>
    <m/>
  </r>
  <r>
    <x v="2"/>
    <m/>
  </r>
  <r>
    <x v="1"/>
    <m/>
  </r>
  <r>
    <x v="3"/>
    <m/>
  </r>
  <r>
    <x v="4"/>
    <m/>
  </r>
  <r>
    <x v="1"/>
    <m/>
  </r>
  <r>
    <x v="3"/>
    <m/>
  </r>
  <r>
    <x v="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x v="0"/>
    <n v="123000"/>
  </r>
  <r>
    <x v="1"/>
    <n v="120000"/>
  </r>
  <r>
    <x v="0"/>
    <n v="95000"/>
  </r>
  <r>
    <x v="1"/>
    <n v="90000"/>
  </r>
  <r>
    <x v="2"/>
    <n v="78000"/>
  </r>
  <r>
    <x v="1"/>
    <n v="56000"/>
  </r>
  <r>
    <x v="3"/>
    <n v="54000"/>
  </r>
  <r>
    <x v="2"/>
    <n v="50000"/>
  </r>
  <r>
    <x v="1"/>
    <n v="45000"/>
  </r>
  <r>
    <x v="1"/>
    <n v="44000"/>
  </r>
  <r>
    <x v="0"/>
    <n v="34000"/>
  </r>
  <r>
    <x v="3"/>
    <n v="29370"/>
  </r>
  <r>
    <x v="0"/>
    <n v="25000"/>
  </r>
  <r>
    <x v="1"/>
    <n v="25000"/>
  </r>
  <r>
    <x v="4"/>
    <n v="23000"/>
  </r>
  <r>
    <x v="4"/>
    <n v="18000"/>
  </r>
  <r>
    <x v="2"/>
    <n v="17500"/>
  </r>
  <r>
    <x v="4"/>
    <n v="17000"/>
  </r>
  <r>
    <x v="1"/>
    <n v="17000"/>
  </r>
  <r>
    <x v="3"/>
    <n v="15000"/>
  </r>
  <r>
    <x v="0"/>
    <n v="14000"/>
  </r>
  <r>
    <x v="2"/>
    <n v="13500"/>
  </r>
  <r>
    <x v="1"/>
    <n v="13000"/>
  </r>
  <r>
    <x v="2"/>
    <n v="12000"/>
  </r>
  <r>
    <x v="1"/>
    <n v="10000"/>
  </r>
  <r>
    <x v="3"/>
    <n v="9929.4319131085595"/>
  </r>
  <r>
    <x v="1"/>
    <n v="9891.8248113452501"/>
  </r>
  <r>
    <x v="2"/>
    <n v="9851.8259493926707"/>
  </r>
  <r>
    <x v="1"/>
    <n v="9821.6898489904106"/>
  </r>
  <r>
    <x v="1"/>
    <n v="9810.3021037234394"/>
  </r>
  <r>
    <x v="2"/>
    <n v="9800"/>
  </r>
  <r>
    <x v="1"/>
    <n v="9800"/>
  </r>
  <r>
    <x v="2"/>
    <n v="9800"/>
  </r>
  <r>
    <x v="4"/>
    <n v="9741.8851595885608"/>
  </r>
  <r>
    <x v="2"/>
    <n v="9675.4025029014301"/>
  </r>
  <r>
    <x v="1"/>
    <n v="9626.6635727363991"/>
  </r>
  <r>
    <x v="2"/>
    <n v="9600"/>
  </r>
  <r>
    <x v="1"/>
    <n v="9557.1452255059903"/>
  </r>
  <r>
    <x v="4"/>
    <n v="9500"/>
  </r>
  <r>
    <x v="3"/>
    <n v="9500"/>
  </r>
  <r>
    <x v="3"/>
    <n v="9500"/>
  </r>
  <r>
    <x v="3"/>
    <n v="9500"/>
  </r>
  <r>
    <x v="4"/>
    <n v="9500"/>
  </r>
  <r>
    <x v="3"/>
    <n v="9500"/>
  </r>
  <r>
    <x v="1"/>
    <n v="9500"/>
  </r>
  <r>
    <x v="1"/>
    <n v="9500"/>
  </r>
  <r>
    <x v="0"/>
    <n v="9500"/>
  </r>
  <r>
    <x v="4"/>
    <n v="9500"/>
  </r>
  <r>
    <x v="1"/>
    <n v="9500"/>
  </r>
  <r>
    <x v="2"/>
    <n v="9500"/>
  </r>
  <r>
    <x v="1"/>
    <n v="9500"/>
  </r>
  <r>
    <x v="0"/>
    <n v="9500"/>
  </r>
  <r>
    <x v="1"/>
    <n v="9500"/>
  </r>
  <r>
    <x v="1"/>
    <n v="9500"/>
  </r>
  <r>
    <x v="4"/>
    <n v="9500"/>
  </r>
  <r>
    <x v="3"/>
    <n v="9500"/>
  </r>
  <r>
    <x v="1"/>
    <n v="9500"/>
  </r>
  <r>
    <x v="1"/>
    <n v="9500"/>
  </r>
  <r>
    <x v="1"/>
    <n v="9500"/>
  </r>
  <r>
    <x v="4"/>
    <n v="9500"/>
  </r>
  <r>
    <x v="1"/>
    <n v="9500"/>
  </r>
  <r>
    <x v="0"/>
    <n v="9500"/>
  </r>
  <r>
    <x v="0"/>
    <n v="9500"/>
  </r>
  <r>
    <x v="3"/>
    <n v="9500"/>
  </r>
  <r>
    <x v="2"/>
    <n v="9500"/>
  </r>
  <r>
    <x v="1"/>
    <n v="9500"/>
  </r>
  <r>
    <x v="1"/>
    <n v="9500"/>
  </r>
  <r>
    <x v="1"/>
    <n v="9500"/>
  </r>
  <r>
    <x v="4"/>
    <n v="9500"/>
  </r>
  <r>
    <x v="3"/>
    <n v="9500"/>
  </r>
  <r>
    <x v="2"/>
    <n v="9500"/>
  </r>
  <r>
    <x v="1"/>
    <n v="9500"/>
  </r>
  <r>
    <x v="1"/>
    <n v="9500"/>
  </r>
  <r>
    <x v="1"/>
    <n v="9500"/>
  </r>
  <r>
    <x v="1"/>
    <n v="9500"/>
  </r>
  <r>
    <x v="1"/>
    <n v="9500"/>
  </r>
  <r>
    <x v="0"/>
    <n v="9500"/>
  </r>
  <r>
    <x v="3"/>
    <n v="9500"/>
  </r>
  <r>
    <x v="2"/>
    <n v="9500"/>
  </r>
  <r>
    <x v="4"/>
    <n v="9500"/>
  </r>
  <r>
    <x v="0"/>
    <n v="9500"/>
  </r>
  <r>
    <x v="1"/>
    <n v="9500"/>
  </r>
  <r>
    <x v="1"/>
    <n v="9500"/>
  </r>
  <r>
    <x v="1"/>
    <n v="9500"/>
  </r>
  <r>
    <x v="0"/>
    <n v="9500"/>
  </r>
  <r>
    <x v="1"/>
    <n v="9500"/>
  </r>
  <r>
    <x v="1"/>
    <n v="9500"/>
  </r>
  <r>
    <x v="2"/>
    <n v="9500"/>
  </r>
  <r>
    <x v="3"/>
    <n v="9500"/>
  </r>
  <r>
    <x v="2"/>
    <n v="9500"/>
  </r>
  <r>
    <x v="0"/>
    <n v="9500"/>
  </r>
  <r>
    <x v="1"/>
    <n v="9500"/>
  </r>
  <r>
    <x v="4"/>
    <n v="9500"/>
  </r>
  <r>
    <x v="4"/>
    <n v="9500"/>
  </r>
  <r>
    <x v="1"/>
    <n v="9500"/>
  </r>
  <r>
    <x v="1"/>
    <n v="9500"/>
  </r>
  <r>
    <x v="1"/>
    <n v="9500"/>
  </r>
  <r>
    <x v="0"/>
    <n v="9500"/>
  </r>
  <r>
    <x v="3"/>
    <n v="9500"/>
  </r>
  <r>
    <x v="1"/>
    <n v="9500"/>
  </r>
  <r>
    <x v="3"/>
    <n v="9500"/>
  </r>
  <r>
    <x v="2"/>
    <n v="9500"/>
  </r>
  <r>
    <x v="4"/>
    <n v="9500"/>
  </r>
  <r>
    <x v="3"/>
    <n v="9500"/>
  </r>
  <r>
    <x v="4"/>
    <n v="9500"/>
  </r>
  <r>
    <x v="4"/>
    <n v="9500"/>
  </r>
  <r>
    <x v="2"/>
    <n v="9500"/>
  </r>
  <r>
    <x v="4"/>
    <n v="9500"/>
  </r>
  <r>
    <x v="4"/>
    <n v="9500"/>
  </r>
  <r>
    <x v="1"/>
    <n v="9500"/>
  </r>
  <r>
    <x v="2"/>
    <n v="9500"/>
  </r>
  <r>
    <x v="0"/>
    <n v="9500"/>
  </r>
  <r>
    <x v="4"/>
    <n v="9500"/>
  </r>
  <r>
    <x v="0"/>
    <n v="9500"/>
  </r>
  <r>
    <x v="1"/>
    <n v="9500"/>
  </r>
  <r>
    <x v="2"/>
    <n v="9500"/>
  </r>
  <r>
    <x v="1"/>
    <n v="9500"/>
  </r>
  <r>
    <x v="2"/>
    <n v="9500"/>
  </r>
  <r>
    <x v="4"/>
    <n v="9500"/>
  </r>
  <r>
    <x v="2"/>
    <n v="9500"/>
  </r>
  <r>
    <x v="0"/>
    <n v="9500"/>
  </r>
  <r>
    <x v="1"/>
    <n v="9500"/>
  </r>
  <r>
    <x v="3"/>
    <n v="9500"/>
  </r>
  <r>
    <x v="0"/>
    <n v="9500"/>
  </r>
  <r>
    <x v="1"/>
    <n v="9500"/>
  </r>
  <r>
    <x v="1"/>
    <n v="9500"/>
  </r>
  <r>
    <x v="1"/>
    <n v="9500"/>
  </r>
  <r>
    <x v="3"/>
    <n v="9500"/>
  </r>
  <r>
    <x v="0"/>
    <n v="9497.6640579601208"/>
  </r>
  <r>
    <x v="0"/>
    <n v="9487.1235244924701"/>
  </r>
  <r>
    <x v="2"/>
    <n v="9475.2265321114992"/>
  </r>
  <r>
    <x v="0"/>
    <n v="9389.9050222972492"/>
  </r>
  <r>
    <x v="4"/>
    <n v="9370"/>
  </r>
  <r>
    <x v="2"/>
    <n v="9357.6047552103901"/>
  </r>
  <r>
    <x v="3"/>
    <n v="9164.4125319253599"/>
  </r>
  <r>
    <x v="3"/>
    <n v="9063.5736026266095"/>
  </r>
  <r>
    <x v="3"/>
    <n v="8846.8605197051202"/>
  </r>
  <r>
    <x v="1"/>
    <n v="8786.5886832576198"/>
  </r>
  <r>
    <x v="2"/>
    <n v="8758.8392130253997"/>
  </r>
  <r>
    <x v="1"/>
    <n v="8746.9900549941704"/>
  </r>
  <r>
    <x v="1"/>
    <n v="8700"/>
  </r>
  <r>
    <x v="0"/>
    <n v="8500"/>
  </r>
  <r>
    <x v="4"/>
    <n v="8500"/>
  </r>
  <r>
    <x v="2"/>
    <n v="8477.6607156913797"/>
  </r>
  <r>
    <x v="4"/>
    <n v="8469.1889982048706"/>
  </r>
  <r>
    <x v="4"/>
    <n v="8326.3702513058906"/>
  </r>
  <r>
    <x v="0"/>
    <n v="8304.3653221610493"/>
  </r>
  <r>
    <x v="2"/>
    <n v="8230"/>
  </r>
  <r>
    <x v="4"/>
    <n v="7600"/>
  </r>
  <r>
    <x v="0"/>
    <n v="7600"/>
  </r>
  <r>
    <x v="2"/>
    <n v="7500"/>
  </r>
  <r>
    <x v="2"/>
    <n v="7500"/>
  </r>
  <r>
    <x v="1"/>
    <n v="7500"/>
  </r>
  <r>
    <x v="1"/>
    <n v="7500"/>
  </r>
  <r>
    <x v="4"/>
    <n v="7500"/>
  </r>
  <r>
    <x v="1"/>
    <n v="7400"/>
  </r>
  <r>
    <x v="0"/>
    <n v="7379.4751912537204"/>
  </r>
  <r>
    <x v="0"/>
    <n v="7300"/>
  </r>
  <r>
    <x v="0"/>
    <n v="7119.9580914626404"/>
  </r>
  <r>
    <x v="2"/>
    <n v="7097.8406167323101"/>
  </r>
  <r>
    <x v="0"/>
    <n v="6989.9171180343901"/>
  </r>
  <r>
    <x v="1"/>
    <n v="6851.2632038280199"/>
  </r>
  <r>
    <x v="1"/>
    <n v="6708.7920139287598"/>
  </r>
  <r>
    <x v="0"/>
    <n v="6540"/>
  </r>
  <r>
    <x v="0"/>
    <n v="6514.7905032278204"/>
  </r>
  <r>
    <x v="1"/>
    <n v="6465.7289434037602"/>
  </r>
  <r>
    <x v="1"/>
    <n v="6400.49730467064"/>
  </r>
  <r>
    <x v="1"/>
    <n v="6318.79431730546"/>
  </r>
  <r>
    <x v="3"/>
    <n v="6300"/>
  </r>
  <r>
    <x v="1"/>
    <n v="6273.8918029696097"/>
  </r>
  <r>
    <x v="0"/>
    <n v="6190.0231423895402"/>
  </r>
  <r>
    <x v="1"/>
    <n v="6163.97775606916"/>
  </r>
  <r>
    <x v="1"/>
    <n v="6075.4086339712203"/>
  </r>
  <r>
    <x v="1"/>
    <n v="6063.3841775421897"/>
  </r>
  <r>
    <x v="1"/>
    <n v="6000"/>
  </r>
  <r>
    <x v="0"/>
    <n v="5728.3587570766304"/>
  </r>
  <r>
    <x v="1"/>
    <n v="5614.7168288129496"/>
  </r>
  <r>
    <x v="3"/>
    <n v="5614.7168288129496"/>
  </r>
  <r>
    <x v="1"/>
    <n v="5600"/>
  </r>
  <r>
    <x v="0"/>
    <n v="5512.8263999426299"/>
  </r>
  <r>
    <x v="1"/>
    <n v="5400"/>
  </r>
  <r>
    <x v="1"/>
    <n v="5400"/>
  </r>
  <r>
    <x v="2"/>
    <n v="5300"/>
  </r>
  <r>
    <x v="1"/>
    <n v="5261.0190876246797"/>
  </r>
  <r>
    <x v="4"/>
    <n v="5239.2522577125101"/>
  </r>
  <r>
    <x v="1"/>
    <n v="5163.5156268235496"/>
  </r>
  <r>
    <x v="3"/>
    <n v="5148.6223896095498"/>
  </r>
  <r>
    <x v="1"/>
    <n v="5096.5701893169598"/>
  </r>
  <r>
    <x v="2"/>
    <n v="5000"/>
  </r>
  <r>
    <x v="0"/>
    <n v="4963.4252764708399"/>
  </r>
  <r>
    <x v="4"/>
    <n v="4792.56563771321"/>
  </r>
  <r>
    <x v="1"/>
    <n v="4781.1190331909002"/>
  </r>
  <r>
    <x v="0"/>
    <n v="4766.3312088702296"/>
  </r>
  <r>
    <x v="0"/>
    <n v="4671.3122754826099"/>
  </r>
  <r>
    <x v="2"/>
    <n v="4410.8742035303403"/>
  </r>
  <r>
    <x v="2"/>
    <n v="4356.8076140807198"/>
  </r>
  <r>
    <x v="2"/>
    <n v="4211.7216071495504"/>
  </r>
  <r>
    <x v="4"/>
    <n v="4148.4602702345501"/>
  </r>
  <r>
    <x v="1"/>
    <n v="4000"/>
  </r>
  <r>
    <x v="1"/>
    <n v="3760"/>
  </r>
  <r>
    <x v="1"/>
    <n v="3595.7813250254299"/>
  </r>
  <r>
    <x v="0"/>
    <n v="3200"/>
  </r>
  <r>
    <x v="3"/>
    <n v="3103.0946472095602"/>
  </r>
  <r>
    <x v="3"/>
    <n v="2910"/>
  </r>
  <r>
    <x v="2"/>
    <n v="2903.4006600949201"/>
  </r>
  <r>
    <x v="3"/>
    <n v="2891.54626529602"/>
  </r>
  <r>
    <x v="0"/>
    <n v="2855.0579108358902"/>
  </r>
  <r>
    <x v="2"/>
    <n v="2724.84817491801"/>
  </r>
  <r>
    <x v="1"/>
    <n v="2711.3178299134702"/>
  </r>
  <r>
    <x v="3"/>
    <n v="2700"/>
  </r>
  <r>
    <x v="1"/>
    <n v="2637.4090115506601"/>
  </r>
  <r>
    <x v="3"/>
    <n v="2568.5583578583201"/>
  </r>
  <r>
    <x v="2"/>
    <n v="2500.9726636466798"/>
  </r>
  <r>
    <x v="4"/>
    <n v="2500"/>
  </r>
  <r>
    <x v="1"/>
    <n v="2500"/>
  </r>
  <r>
    <x v="1"/>
    <n v="2368.6366242868098"/>
  </r>
  <r>
    <x v="4"/>
    <n v="2322.9565305414499"/>
  </r>
  <r>
    <x v="3"/>
    <n v="2282.4949048252702"/>
  </r>
  <r>
    <x v="0"/>
    <n v="2189.0701284622"/>
  </r>
  <r>
    <x v="1"/>
    <n v="2091.4132798554401"/>
  </r>
  <r>
    <x v="0"/>
    <n v="1928"/>
  </r>
  <r>
    <x v="1"/>
    <n v="1780"/>
  </r>
  <r>
    <x v="1"/>
    <n v="1759.7296563785601"/>
  </r>
  <r>
    <x v="0"/>
    <n v="1737.93385616602"/>
  </r>
  <r>
    <x v="1"/>
    <n v="1721.9062905217099"/>
  </r>
  <r>
    <x v="0"/>
    <n v="1700"/>
  </r>
  <r>
    <x v="4"/>
    <n v="1678.0982450407901"/>
  </r>
  <r>
    <x v="3"/>
    <n v="1568.60559764608"/>
  </r>
  <r>
    <x v="1"/>
    <n v="1513.3436847289099"/>
  </r>
  <r>
    <x v="2"/>
    <n v="1500"/>
  </r>
  <r>
    <x v="4"/>
    <n v="1500"/>
  </r>
  <r>
    <x v="1"/>
    <n v="1500"/>
  </r>
  <r>
    <x v="4"/>
    <n v="1500"/>
  </r>
  <r>
    <x v="0"/>
    <n v="1500"/>
  </r>
  <r>
    <x v="1"/>
    <n v="1500"/>
  </r>
  <r>
    <x v="2"/>
    <n v="1500"/>
  </r>
  <r>
    <x v="4"/>
    <n v="1500"/>
  </r>
  <r>
    <x v="1"/>
    <n v="1500"/>
  </r>
  <r>
    <x v="1"/>
    <n v="1500"/>
  </r>
  <r>
    <x v="2"/>
    <n v="1500"/>
  </r>
  <r>
    <x v="0"/>
    <n v="1500"/>
  </r>
  <r>
    <x v="4"/>
    <n v="1500"/>
  </r>
  <r>
    <x v="3"/>
    <n v="1500"/>
  </r>
  <r>
    <x v="0"/>
    <n v="1500"/>
  </r>
  <r>
    <x v="1"/>
    <n v="1500"/>
  </r>
  <r>
    <x v="2"/>
    <n v="1500"/>
  </r>
  <r>
    <x v="4"/>
    <n v="1500"/>
  </r>
  <r>
    <x v="1"/>
    <n v="1500"/>
  </r>
  <r>
    <x v="1"/>
    <n v="1500"/>
  </r>
  <r>
    <x v="1"/>
    <n v="1500"/>
  </r>
  <r>
    <x v="3"/>
    <n v="1500"/>
  </r>
  <r>
    <x v="2"/>
    <n v="1500"/>
  </r>
  <r>
    <x v="4"/>
    <n v="1500"/>
  </r>
  <r>
    <x v="2"/>
    <n v="1500"/>
  </r>
  <r>
    <x v="0"/>
    <n v="1500"/>
  </r>
  <r>
    <x v="1"/>
    <n v="1500"/>
  </r>
  <r>
    <x v="1"/>
    <n v="1500"/>
  </r>
  <r>
    <x v="1"/>
    <n v="1500"/>
  </r>
  <r>
    <x v="1"/>
    <n v="1500"/>
  </r>
  <r>
    <x v="3"/>
    <n v="1500"/>
  </r>
  <r>
    <x v="0"/>
    <n v="1500"/>
  </r>
  <r>
    <x v="0"/>
    <n v="1500"/>
  </r>
  <r>
    <x v="1"/>
    <n v="1500"/>
  </r>
  <r>
    <x v="3"/>
    <n v="1500"/>
  </r>
  <r>
    <x v="2"/>
    <n v="1500"/>
  </r>
  <r>
    <x v="1"/>
    <n v="1500"/>
  </r>
  <r>
    <x v="0"/>
    <n v="1500"/>
  </r>
  <r>
    <x v="1"/>
    <n v="1500"/>
  </r>
  <r>
    <x v="4"/>
    <n v="1500"/>
  </r>
  <r>
    <x v="3"/>
    <n v="1500"/>
  </r>
  <r>
    <x v="4"/>
    <n v="1500"/>
  </r>
  <r>
    <x v="0"/>
    <n v="1500"/>
  </r>
  <r>
    <x v="1"/>
    <n v="1500"/>
  </r>
  <r>
    <x v="3"/>
    <n v="1500"/>
  </r>
  <r>
    <x v="2"/>
    <n v="1500"/>
  </r>
  <r>
    <x v="4"/>
    <n v="1500"/>
  </r>
  <r>
    <x v="2"/>
    <n v="1500"/>
  </r>
  <r>
    <x v="2"/>
    <n v="1500"/>
  </r>
  <r>
    <x v="0"/>
    <n v="1500"/>
  </r>
  <r>
    <x v="4"/>
    <n v="1500"/>
  </r>
  <r>
    <x v="1"/>
    <n v="1500"/>
  </r>
  <r>
    <x v="0"/>
    <n v="1500"/>
  </r>
  <r>
    <x v="3"/>
    <n v="1500"/>
  </r>
  <r>
    <x v="2"/>
    <n v="1500"/>
  </r>
  <r>
    <x v="0"/>
    <n v="1500"/>
  </r>
  <r>
    <x v="1"/>
    <n v="1500"/>
  </r>
  <r>
    <x v="0"/>
    <n v="1500"/>
  </r>
  <r>
    <x v="0"/>
    <n v="1500"/>
  </r>
  <r>
    <x v="1"/>
    <n v="1500"/>
  </r>
  <r>
    <x v="1"/>
    <n v="1500"/>
  </r>
  <r>
    <x v="0"/>
    <n v="1500"/>
  </r>
  <r>
    <x v="1"/>
    <n v="1500"/>
  </r>
  <r>
    <x v="1"/>
    <n v="1500"/>
  </r>
  <r>
    <x v="1"/>
    <n v="1500"/>
  </r>
  <r>
    <x v="4"/>
    <n v="1500"/>
  </r>
  <r>
    <x v="2"/>
    <n v="1500"/>
  </r>
  <r>
    <x v="1"/>
    <n v="1500"/>
  </r>
  <r>
    <x v="0"/>
    <n v="1500"/>
  </r>
  <r>
    <x v="1"/>
    <n v="1500"/>
  </r>
  <r>
    <x v="1"/>
    <n v="1500"/>
  </r>
  <r>
    <x v="1"/>
    <n v="1500"/>
  </r>
  <r>
    <x v="1"/>
    <n v="1500"/>
  </r>
  <r>
    <x v="1"/>
    <n v="1500"/>
  </r>
  <r>
    <x v="2"/>
    <n v="1500"/>
  </r>
  <r>
    <x v="0"/>
    <n v="1500"/>
  </r>
  <r>
    <x v="1"/>
    <n v="1500"/>
  </r>
  <r>
    <x v="2"/>
    <n v="1500"/>
  </r>
  <r>
    <x v="0"/>
    <n v="1500"/>
  </r>
  <r>
    <x v="1"/>
    <n v="1500"/>
  </r>
  <r>
    <x v="0"/>
    <n v="1500"/>
  </r>
  <r>
    <x v="1"/>
    <n v="1500"/>
  </r>
  <r>
    <x v="1"/>
    <n v="1500"/>
  </r>
  <r>
    <x v="2"/>
    <n v="1500"/>
  </r>
  <r>
    <x v="1"/>
    <n v="1500"/>
  </r>
  <r>
    <x v="1"/>
    <n v="1500"/>
  </r>
  <r>
    <x v="1"/>
    <n v="1500"/>
  </r>
  <r>
    <x v="1"/>
    <n v="1500"/>
  </r>
  <r>
    <x v="0"/>
    <n v="1500"/>
  </r>
  <r>
    <x v="0"/>
    <n v="1500"/>
  </r>
  <r>
    <x v="1"/>
    <n v="1500"/>
  </r>
  <r>
    <x v="4"/>
    <n v="1500"/>
  </r>
  <r>
    <x v="4"/>
    <n v="1500"/>
  </r>
  <r>
    <x v="1"/>
    <n v="1500"/>
  </r>
  <r>
    <x v="3"/>
    <n v="1500"/>
  </r>
  <r>
    <x v="0"/>
    <n v="1500"/>
  </r>
  <r>
    <x v="1"/>
    <n v="1500"/>
  </r>
  <r>
    <x v="2"/>
    <n v="1500"/>
  </r>
  <r>
    <x v="1"/>
    <n v="1500"/>
  </r>
  <r>
    <x v="4"/>
    <n v="1500"/>
  </r>
  <r>
    <x v="0"/>
    <n v="1500"/>
  </r>
  <r>
    <x v="3"/>
    <n v="1500"/>
  </r>
  <r>
    <x v="2"/>
    <n v="1450"/>
  </r>
  <r>
    <x v="1"/>
    <n v="1438.83877847331"/>
  </r>
  <r>
    <x v="3"/>
    <n v="1382.2721408191301"/>
  </r>
  <r>
    <x v="1"/>
    <n v="1379.9788345776501"/>
  </r>
  <r>
    <x v="3"/>
    <n v="1288.2023216088701"/>
  </r>
  <r>
    <x v="1"/>
    <n v="1288.2023216088701"/>
  </r>
  <r>
    <x v="1"/>
    <n v="1230"/>
  </r>
  <r>
    <x v="1"/>
    <n v="1230"/>
  </r>
  <r>
    <x v="0"/>
    <n v="1227.0815730372401"/>
  </r>
  <r>
    <x v="1"/>
    <n v="1200"/>
  </r>
  <r>
    <x v="0"/>
    <n v="1025.80439546911"/>
  </r>
  <r>
    <x v="0"/>
    <n v="1000"/>
  </r>
  <r>
    <x v="4"/>
    <n v="1000"/>
  </r>
  <r>
    <x v="3"/>
    <n v="1000"/>
  </r>
  <r>
    <x v="1"/>
    <n v="1000"/>
  </r>
  <r>
    <x v="3"/>
    <n v="1000"/>
  </r>
  <r>
    <x v="3"/>
    <n v="1000"/>
  </r>
  <r>
    <x v="0"/>
    <n v="1000"/>
  </r>
  <r>
    <x v="1"/>
    <n v="972.09324437361602"/>
  </r>
  <r>
    <x v="4"/>
    <n v="969.30685053361901"/>
  </r>
  <r>
    <x v="4"/>
    <n v="957.29252547226599"/>
  </r>
  <r>
    <x v="1"/>
    <n v="951.178865328548"/>
  </r>
  <r>
    <x v="4"/>
    <n v="942.86936174279003"/>
  </r>
  <r>
    <x v="2"/>
    <n v="939.54715055173597"/>
  </r>
  <r>
    <x v="4"/>
    <n v="933.45756551658803"/>
  </r>
  <r>
    <x v="2"/>
    <n v="921.05159041783804"/>
  </r>
  <r>
    <x v="1"/>
    <n v="906.46890391195802"/>
  </r>
  <r>
    <x v="0"/>
    <n v="899.65041589135501"/>
  </r>
  <r>
    <x v="1"/>
    <n v="851.98983398164103"/>
  </r>
  <r>
    <x v="0"/>
    <n v="850"/>
  </r>
  <r>
    <x v="4"/>
    <n v="850"/>
  </r>
  <r>
    <x v="3"/>
    <n v="840"/>
  </r>
  <r>
    <x v="0"/>
    <n v="812.99942048489299"/>
  </r>
  <r>
    <x v="4"/>
    <n v="807.57771146249695"/>
  </r>
  <r>
    <x v="2"/>
    <n v="788.64829000980899"/>
  </r>
  <r>
    <x v="1"/>
    <n v="788.30668616620801"/>
  </r>
  <r>
    <x v="0"/>
    <n v="787.681392120895"/>
  </r>
  <r>
    <x v="2"/>
    <n v="775.44589490567898"/>
  </r>
  <r>
    <x v="0"/>
    <n v="773.42060851468204"/>
  </r>
  <r>
    <x v="2"/>
    <n v="767.64074282127797"/>
  </r>
  <r>
    <x v="3"/>
    <n v="767.640591072284"/>
  </r>
  <r>
    <x v="4"/>
    <n v="753.08604790074503"/>
  </r>
  <r>
    <x v="3"/>
    <n v="750"/>
  </r>
  <r>
    <x v="3"/>
    <n v="745.978642305829"/>
  </r>
  <r>
    <x v="1"/>
    <n v="726"/>
  </r>
  <r>
    <x v="1"/>
    <n v="704.224078713214"/>
  </r>
  <r>
    <x v="4"/>
    <n v="702.66497333966004"/>
  </r>
  <r>
    <x v="2"/>
    <n v="700"/>
  </r>
  <r>
    <x v="3"/>
    <n v="696.68046574207699"/>
  </r>
  <r>
    <x v="1"/>
    <n v="695.11221893532002"/>
  </r>
  <r>
    <x v="2"/>
    <n v="669.37549034357301"/>
  </r>
  <r>
    <x v="1"/>
    <n v="663.36226434909599"/>
  </r>
  <r>
    <x v="1"/>
    <n v="660.45277403917498"/>
  </r>
  <r>
    <x v="1"/>
    <n v="658.437303185921"/>
  </r>
  <r>
    <x v="2"/>
    <n v="656.41320432561895"/>
  </r>
  <r>
    <x v="1"/>
    <n v="622.978819045254"/>
  </r>
  <r>
    <x v="2"/>
    <n v="618.46916320055902"/>
  </r>
  <r>
    <x v="4"/>
    <n v="618.46916320055902"/>
  </r>
  <r>
    <x v="1"/>
    <n v="618.46916320055902"/>
  </r>
  <r>
    <x v="1"/>
    <n v="618.26118861472298"/>
  </r>
  <r>
    <x v="0"/>
    <n v="611.78021298985504"/>
  </r>
  <r>
    <x v="2"/>
    <n v="587.12550469514304"/>
  </r>
  <r>
    <x v="1"/>
    <n v="585.70548688299095"/>
  </r>
  <r>
    <x v="0"/>
    <n v="585.70548688299095"/>
  </r>
  <r>
    <x v="1"/>
    <n v="573.59310641522097"/>
  </r>
  <r>
    <x v="1"/>
    <n v="568.043827367532"/>
  </r>
  <r>
    <x v="2"/>
    <n v="557.76850075566699"/>
  </r>
  <r>
    <x v="3"/>
    <n v="554.55985157139605"/>
  </r>
  <r>
    <x v="1"/>
    <n v="540"/>
  </r>
  <r>
    <x v="0"/>
    <n v="538.64632985466994"/>
  </r>
  <r>
    <x v="2"/>
    <n v="525.484036012773"/>
  </r>
  <r>
    <x v="0"/>
    <n v="520"/>
  </r>
  <r>
    <x v="2"/>
    <n v="519.83410220161397"/>
  </r>
  <r>
    <x v="3"/>
    <n v="491.25198529020702"/>
  </r>
  <r>
    <x v="0"/>
    <n v="481.26238537476303"/>
  </r>
  <r>
    <x v="2"/>
    <n v="480.23697380661099"/>
  </r>
  <r>
    <x v="1"/>
    <n v="479.44845860386903"/>
  </r>
  <r>
    <x v="3"/>
    <n v="475.98940927973598"/>
  </r>
  <r>
    <x v="1"/>
    <n v="475.75609455991997"/>
  </r>
  <r>
    <x v="0"/>
    <n v="474.41659405202802"/>
  </r>
  <r>
    <x v="2"/>
    <n v="469.60288500642997"/>
  </r>
  <r>
    <x v="1"/>
    <n v="460.89489546675702"/>
  </r>
  <r>
    <x v="1"/>
    <n v="459.28476549100799"/>
  </r>
  <r>
    <x v="0"/>
    <n v="459.28476549100799"/>
  </r>
  <r>
    <x v="1"/>
    <n v="450"/>
  </r>
  <r>
    <x v="0"/>
    <n v="443.98998918419301"/>
  </r>
  <r>
    <x v="4"/>
    <n v="440.00135868523699"/>
  </r>
  <r>
    <x v="3"/>
    <n v="430.43241699550202"/>
  </r>
  <r>
    <x v="4"/>
    <n v="430"/>
  </r>
  <r>
    <x v="0"/>
    <n v="420.045319673412"/>
  </r>
  <r>
    <x v="1"/>
    <n v="415.04744091550998"/>
  </r>
  <r>
    <x v="1"/>
    <n v="398.09270556066099"/>
  </r>
  <r>
    <x v="1"/>
    <n v="395.91958481062102"/>
  </r>
  <r>
    <x v="2"/>
    <n v="392.04033943938202"/>
  </r>
  <r>
    <x v="1"/>
    <n v="386.011424105174"/>
  </r>
  <r>
    <x v="1"/>
    <n v="374.47089828204901"/>
  </r>
  <r>
    <x v="4"/>
    <n v="373.65406767253199"/>
  </r>
  <r>
    <x v="3"/>
    <n v="371.80432355577398"/>
  </r>
  <r>
    <x v="1"/>
    <n v="369.16325329443299"/>
  </r>
  <r>
    <x v="1"/>
    <n v="367.73734548621502"/>
  </r>
  <r>
    <x v="3"/>
    <n v="363.01661683714099"/>
  </r>
  <r>
    <x v="1"/>
    <n v="359.97713098893701"/>
  </r>
  <r>
    <x v="1"/>
    <n v="356.91702389710002"/>
  </r>
  <r>
    <x v="1"/>
    <n v="350.76710902160499"/>
  </r>
  <r>
    <x v="4"/>
    <n v="344.20781899791899"/>
  </r>
  <r>
    <x v="2"/>
    <n v="321.13619824797001"/>
  </r>
  <r>
    <x v="1"/>
    <n v="317.14524622461403"/>
  </r>
  <r>
    <x v="4"/>
    <n v="308.34884938781101"/>
  </r>
  <r>
    <x v="1"/>
    <n v="300.808682375297"/>
  </r>
  <r>
    <x v="1"/>
    <n v="295.36425398299599"/>
  </r>
  <r>
    <x v="2"/>
    <n v="283.017642554421"/>
  </r>
  <r>
    <x v="4"/>
    <n v="278.88749449666398"/>
  </r>
  <r>
    <x v="0"/>
    <n v="272.81530034096198"/>
  </r>
  <r>
    <x v="4"/>
    <n v="268.073967615838"/>
  </r>
  <r>
    <x v="2"/>
    <n v="242.10715510196599"/>
  </r>
  <r>
    <x v="0"/>
    <n v="234.029260524927"/>
  </r>
  <r>
    <x v="0"/>
    <n v="220.573894709874"/>
  </r>
  <r>
    <x v="2"/>
    <n v="217.27134317407501"/>
  </r>
  <r>
    <x v="2"/>
    <n v="198.516375375194"/>
  </r>
  <r>
    <x v="1"/>
    <n v="194.76043370859199"/>
  </r>
  <r>
    <x v="4"/>
    <n v="159.04619252292301"/>
  </r>
  <r>
    <x v="0"/>
    <n v="153.381169538802"/>
  </r>
  <r>
    <x v="2"/>
    <n v="151.15038470408601"/>
  </r>
  <r>
    <x v="1"/>
    <n v="144.61121434189499"/>
  </r>
  <r>
    <x v="1"/>
    <n v="127.363789032357"/>
  </r>
  <r>
    <x v="1"/>
    <n v="127.363789032357"/>
  </r>
  <r>
    <x v="4"/>
    <n v="125.799546208362"/>
  </r>
  <r>
    <x v="1"/>
    <n v="120.62753324200899"/>
  </r>
  <r>
    <x v="3"/>
    <n v="120"/>
  </r>
  <r>
    <x v="1"/>
    <n v="90.522945695275496"/>
  </r>
  <r>
    <x v="0"/>
    <n v="90"/>
  </r>
  <r>
    <x v="0"/>
    <n v="85.340273519963603"/>
  </r>
  <r>
    <x v="1"/>
    <n v="78.5469795729921"/>
  </r>
  <r>
    <x v="0"/>
    <n v="76.989638932025997"/>
  </r>
  <r>
    <x v="2"/>
    <n v="76.989638932025997"/>
  </r>
  <r>
    <x v="4"/>
    <n v="74.678311268991195"/>
  </r>
  <r>
    <x v="4"/>
    <n v="62.158911812909501"/>
  </r>
  <r>
    <x v="2"/>
    <n v="36.684701848330697"/>
  </r>
  <r>
    <x v="1"/>
    <n v="30.688579780824799"/>
  </r>
  <r>
    <x v="0"/>
    <n v="4.7349788780394197"/>
  </r>
  <r>
    <x v="1"/>
    <m/>
  </r>
  <r>
    <x v="0"/>
    <m/>
  </r>
  <r>
    <x v="1"/>
    <m/>
  </r>
  <r>
    <x v="2"/>
    <m/>
  </r>
  <r>
    <x v="1"/>
    <m/>
  </r>
  <r>
    <x v="3"/>
    <m/>
  </r>
  <r>
    <x v="4"/>
    <m/>
  </r>
  <r>
    <x v="1"/>
    <m/>
  </r>
  <r>
    <x v="3"/>
    <m/>
  </r>
  <r>
    <x v="3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2"/>
  </r>
  <r>
    <x v="14"/>
    <x v="13"/>
  </r>
  <r>
    <x v="15"/>
    <x v="14"/>
  </r>
  <r>
    <x v="16"/>
    <x v="15"/>
  </r>
  <r>
    <x v="17"/>
    <x v="16"/>
  </r>
  <r>
    <x v="18"/>
    <x v="16"/>
  </r>
  <r>
    <x v="19"/>
    <x v="17"/>
  </r>
  <r>
    <x v="20"/>
    <x v="18"/>
  </r>
  <r>
    <x v="21"/>
    <x v="19"/>
  </r>
  <r>
    <x v="22"/>
    <x v="20"/>
  </r>
  <r>
    <x v="23"/>
    <x v="21"/>
  </r>
  <r>
    <x v="24"/>
    <x v="22"/>
  </r>
  <r>
    <x v="25"/>
    <x v="23"/>
  </r>
  <r>
    <x v="26"/>
    <x v="24"/>
  </r>
  <r>
    <x v="27"/>
    <x v="25"/>
  </r>
  <r>
    <x v="28"/>
    <x v="26"/>
  </r>
  <r>
    <x v="29"/>
    <x v="27"/>
  </r>
  <r>
    <x v="30"/>
    <x v="28"/>
  </r>
  <r>
    <x v="31"/>
    <x v="28"/>
  </r>
  <r>
    <x v="32"/>
    <x v="28"/>
  </r>
  <r>
    <x v="33"/>
    <x v="29"/>
  </r>
  <r>
    <x v="34"/>
    <x v="30"/>
  </r>
  <r>
    <x v="35"/>
    <x v="31"/>
  </r>
  <r>
    <x v="36"/>
    <x v="32"/>
  </r>
  <r>
    <x v="37"/>
    <x v="33"/>
  </r>
  <r>
    <x v="38"/>
    <x v="34"/>
  </r>
  <r>
    <x v="39"/>
    <x v="34"/>
  </r>
  <r>
    <x v="40"/>
    <x v="34"/>
  </r>
  <r>
    <x v="41"/>
    <x v="34"/>
  </r>
  <r>
    <x v="42"/>
    <x v="34"/>
  </r>
  <r>
    <x v="43"/>
    <x v="34"/>
  </r>
  <r>
    <x v="44"/>
    <x v="34"/>
  </r>
  <r>
    <x v="45"/>
    <x v="34"/>
  </r>
  <r>
    <x v="46"/>
    <x v="34"/>
  </r>
  <r>
    <x v="47"/>
    <x v="34"/>
  </r>
  <r>
    <x v="48"/>
    <x v="34"/>
  </r>
  <r>
    <x v="49"/>
    <x v="34"/>
  </r>
  <r>
    <x v="50"/>
    <x v="34"/>
  </r>
  <r>
    <x v="51"/>
    <x v="34"/>
  </r>
  <r>
    <x v="52"/>
    <x v="34"/>
  </r>
  <r>
    <x v="53"/>
    <x v="34"/>
  </r>
  <r>
    <x v="54"/>
    <x v="34"/>
  </r>
  <r>
    <x v="55"/>
    <x v="34"/>
  </r>
  <r>
    <x v="56"/>
    <x v="34"/>
  </r>
  <r>
    <x v="57"/>
    <x v="34"/>
  </r>
  <r>
    <x v="58"/>
    <x v="34"/>
  </r>
  <r>
    <x v="59"/>
    <x v="34"/>
  </r>
  <r>
    <x v="60"/>
    <x v="34"/>
  </r>
  <r>
    <x v="61"/>
    <x v="34"/>
  </r>
  <r>
    <x v="62"/>
    <x v="34"/>
  </r>
  <r>
    <x v="63"/>
    <x v="34"/>
  </r>
  <r>
    <x v="64"/>
    <x v="34"/>
  </r>
  <r>
    <x v="65"/>
    <x v="34"/>
  </r>
  <r>
    <x v="66"/>
    <x v="34"/>
  </r>
  <r>
    <x v="67"/>
    <x v="34"/>
  </r>
  <r>
    <x v="68"/>
    <x v="34"/>
  </r>
  <r>
    <x v="69"/>
    <x v="34"/>
  </r>
  <r>
    <x v="69"/>
    <x v="34"/>
  </r>
  <r>
    <x v="70"/>
    <x v="34"/>
  </r>
  <r>
    <x v="71"/>
    <x v="34"/>
  </r>
  <r>
    <x v="72"/>
    <x v="34"/>
  </r>
  <r>
    <x v="73"/>
    <x v="34"/>
  </r>
  <r>
    <x v="74"/>
    <x v="34"/>
  </r>
  <r>
    <x v="75"/>
    <x v="34"/>
  </r>
  <r>
    <x v="76"/>
    <x v="34"/>
  </r>
  <r>
    <x v="77"/>
    <x v="34"/>
  </r>
  <r>
    <x v="77"/>
    <x v="34"/>
  </r>
  <r>
    <x v="78"/>
    <x v="34"/>
  </r>
  <r>
    <x v="79"/>
    <x v="34"/>
  </r>
  <r>
    <x v="80"/>
    <x v="34"/>
  </r>
  <r>
    <x v="81"/>
    <x v="34"/>
  </r>
  <r>
    <x v="82"/>
    <x v="34"/>
  </r>
  <r>
    <x v="83"/>
    <x v="34"/>
  </r>
  <r>
    <x v="84"/>
    <x v="34"/>
  </r>
  <r>
    <x v="85"/>
    <x v="34"/>
  </r>
  <r>
    <x v="86"/>
    <x v="34"/>
  </r>
  <r>
    <x v="87"/>
    <x v="34"/>
  </r>
  <r>
    <x v="88"/>
    <x v="34"/>
  </r>
  <r>
    <x v="89"/>
    <x v="34"/>
  </r>
  <r>
    <x v="90"/>
    <x v="34"/>
  </r>
  <r>
    <x v="91"/>
    <x v="34"/>
  </r>
  <r>
    <x v="92"/>
    <x v="34"/>
  </r>
  <r>
    <x v="93"/>
    <x v="34"/>
  </r>
  <r>
    <x v="94"/>
    <x v="34"/>
  </r>
  <r>
    <x v="95"/>
    <x v="34"/>
  </r>
  <r>
    <x v="96"/>
    <x v="34"/>
  </r>
  <r>
    <x v="97"/>
    <x v="34"/>
  </r>
  <r>
    <x v="98"/>
    <x v="34"/>
  </r>
  <r>
    <x v="99"/>
    <x v="34"/>
  </r>
  <r>
    <x v="100"/>
    <x v="34"/>
  </r>
  <r>
    <x v="101"/>
    <x v="34"/>
  </r>
  <r>
    <x v="102"/>
    <x v="34"/>
  </r>
  <r>
    <x v="103"/>
    <x v="34"/>
  </r>
  <r>
    <x v="104"/>
    <x v="34"/>
  </r>
  <r>
    <x v="105"/>
    <x v="34"/>
  </r>
  <r>
    <x v="105"/>
    <x v="34"/>
  </r>
  <r>
    <x v="106"/>
    <x v="34"/>
  </r>
  <r>
    <x v="107"/>
    <x v="34"/>
  </r>
  <r>
    <x v="108"/>
    <x v="34"/>
  </r>
  <r>
    <x v="109"/>
    <x v="34"/>
  </r>
  <r>
    <x v="110"/>
    <x v="34"/>
  </r>
  <r>
    <x v="111"/>
    <x v="34"/>
  </r>
  <r>
    <x v="112"/>
    <x v="34"/>
  </r>
  <r>
    <x v="112"/>
    <x v="34"/>
  </r>
  <r>
    <x v="113"/>
    <x v="34"/>
  </r>
  <r>
    <x v="114"/>
    <x v="34"/>
  </r>
  <r>
    <x v="115"/>
    <x v="34"/>
  </r>
  <r>
    <x v="116"/>
    <x v="34"/>
  </r>
  <r>
    <x v="116"/>
    <x v="34"/>
  </r>
  <r>
    <x v="116"/>
    <x v="34"/>
  </r>
  <r>
    <x v="117"/>
    <x v="34"/>
  </r>
  <r>
    <x v="118"/>
    <x v="34"/>
  </r>
  <r>
    <x v="119"/>
    <x v="34"/>
  </r>
  <r>
    <x v="120"/>
    <x v="34"/>
  </r>
  <r>
    <x v="121"/>
    <x v="34"/>
  </r>
  <r>
    <x v="122"/>
    <x v="35"/>
  </r>
  <r>
    <x v="123"/>
    <x v="36"/>
  </r>
  <r>
    <x v="124"/>
    <x v="37"/>
  </r>
  <r>
    <x v="125"/>
    <x v="38"/>
  </r>
  <r>
    <x v="126"/>
    <x v="39"/>
  </r>
  <r>
    <x v="127"/>
    <x v="40"/>
  </r>
  <r>
    <x v="128"/>
    <x v="41"/>
  </r>
  <r>
    <x v="129"/>
    <x v="42"/>
  </r>
  <r>
    <x v="130"/>
    <x v="43"/>
  </r>
  <r>
    <x v="131"/>
    <x v="44"/>
  </r>
  <r>
    <x v="132"/>
    <x v="45"/>
  </r>
  <r>
    <x v="133"/>
    <x v="46"/>
  </r>
  <r>
    <x v="134"/>
    <x v="47"/>
  </r>
  <r>
    <x v="135"/>
    <x v="48"/>
  </r>
  <r>
    <x v="136"/>
    <x v="48"/>
  </r>
  <r>
    <x v="137"/>
    <x v="49"/>
  </r>
  <r>
    <x v="138"/>
    <x v="50"/>
  </r>
  <r>
    <x v="139"/>
    <x v="51"/>
  </r>
  <r>
    <x v="140"/>
    <x v="52"/>
  </r>
  <r>
    <x v="141"/>
    <x v="53"/>
  </r>
  <r>
    <x v="142"/>
    <x v="54"/>
  </r>
  <r>
    <x v="143"/>
    <x v="54"/>
  </r>
  <r>
    <x v="144"/>
    <x v="55"/>
  </r>
  <r>
    <x v="145"/>
    <x v="55"/>
  </r>
  <r>
    <x v="146"/>
    <x v="55"/>
  </r>
  <r>
    <x v="147"/>
    <x v="55"/>
  </r>
  <r>
    <x v="148"/>
    <x v="55"/>
  </r>
  <r>
    <x v="149"/>
    <x v="56"/>
  </r>
  <r>
    <x v="150"/>
    <x v="57"/>
  </r>
  <r>
    <x v="151"/>
    <x v="58"/>
  </r>
  <r>
    <x v="152"/>
    <x v="59"/>
  </r>
  <r>
    <x v="153"/>
    <x v="60"/>
  </r>
  <r>
    <x v="154"/>
    <x v="61"/>
  </r>
  <r>
    <x v="155"/>
    <x v="62"/>
  </r>
  <r>
    <x v="156"/>
    <x v="63"/>
  </r>
  <r>
    <x v="157"/>
    <x v="64"/>
  </r>
  <r>
    <x v="158"/>
    <x v="65"/>
  </r>
  <r>
    <x v="159"/>
    <x v="66"/>
  </r>
  <r>
    <x v="160"/>
    <x v="67"/>
  </r>
  <r>
    <x v="161"/>
    <x v="68"/>
  </r>
  <r>
    <x v="162"/>
    <x v="69"/>
  </r>
  <r>
    <x v="163"/>
    <x v="70"/>
  </r>
  <r>
    <x v="164"/>
    <x v="71"/>
  </r>
  <r>
    <x v="165"/>
    <x v="72"/>
  </r>
  <r>
    <x v="166"/>
    <x v="73"/>
  </r>
  <r>
    <x v="167"/>
    <x v="74"/>
  </r>
  <r>
    <x v="168"/>
    <x v="75"/>
  </r>
  <r>
    <x v="169"/>
    <x v="76"/>
  </r>
  <r>
    <x v="170"/>
    <x v="77"/>
  </r>
  <r>
    <x v="170"/>
    <x v="77"/>
  </r>
  <r>
    <x v="171"/>
    <x v="78"/>
  </r>
  <r>
    <x v="172"/>
    <x v="79"/>
  </r>
  <r>
    <x v="173"/>
    <x v="80"/>
  </r>
  <r>
    <x v="174"/>
    <x v="80"/>
  </r>
  <r>
    <x v="175"/>
    <x v="81"/>
  </r>
  <r>
    <x v="176"/>
    <x v="82"/>
  </r>
  <r>
    <x v="177"/>
    <x v="83"/>
  </r>
  <r>
    <x v="178"/>
    <x v="84"/>
  </r>
  <r>
    <x v="179"/>
    <x v="85"/>
  </r>
  <r>
    <x v="180"/>
    <x v="86"/>
  </r>
  <r>
    <x v="181"/>
    <x v="87"/>
  </r>
  <r>
    <x v="182"/>
    <x v="88"/>
  </r>
  <r>
    <x v="183"/>
    <x v="89"/>
  </r>
  <r>
    <x v="184"/>
    <x v="90"/>
  </r>
  <r>
    <x v="185"/>
    <x v="91"/>
  </r>
  <r>
    <x v="186"/>
    <x v="92"/>
  </r>
  <r>
    <x v="187"/>
    <x v="93"/>
  </r>
  <r>
    <x v="188"/>
    <x v="94"/>
  </r>
  <r>
    <x v="189"/>
    <x v="95"/>
  </r>
  <r>
    <x v="190"/>
    <x v="96"/>
  </r>
  <r>
    <x v="191"/>
    <x v="97"/>
  </r>
  <r>
    <x v="192"/>
    <x v="98"/>
  </r>
  <r>
    <x v="193"/>
    <x v="99"/>
  </r>
  <r>
    <x v="194"/>
    <x v="100"/>
  </r>
  <r>
    <x v="195"/>
    <x v="101"/>
  </r>
  <r>
    <x v="196"/>
    <x v="102"/>
  </r>
  <r>
    <x v="197"/>
    <x v="103"/>
  </r>
  <r>
    <x v="198"/>
    <x v="104"/>
  </r>
  <r>
    <x v="199"/>
    <x v="105"/>
  </r>
  <r>
    <x v="200"/>
    <x v="106"/>
  </r>
  <r>
    <x v="201"/>
    <x v="107"/>
  </r>
  <r>
    <x v="202"/>
    <x v="108"/>
  </r>
  <r>
    <x v="203"/>
    <x v="109"/>
  </r>
  <r>
    <x v="204"/>
    <x v="110"/>
  </r>
  <r>
    <x v="205"/>
    <x v="111"/>
  </r>
  <r>
    <x v="206"/>
    <x v="112"/>
  </r>
  <r>
    <x v="207"/>
    <x v="112"/>
  </r>
  <r>
    <x v="208"/>
    <x v="113"/>
  </r>
  <r>
    <x v="209"/>
    <x v="114"/>
  </r>
  <r>
    <x v="210"/>
    <x v="115"/>
  </r>
  <r>
    <x v="211"/>
    <x v="116"/>
  </r>
  <r>
    <x v="212"/>
    <x v="117"/>
  </r>
  <r>
    <x v="213"/>
    <x v="118"/>
  </r>
  <r>
    <x v="214"/>
    <x v="119"/>
  </r>
  <r>
    <x v="215"/>
    <x v="120"/>
  </r>
  <r>
    <x v="216"/>
    <x v="121"/>
  </r>
  <r>
    <x v="217"/>
    <x v="122"/>
  </r>
  <r>
    <x v="218"/>
    <x v="123"/>
  </r>
  <r>
    <x v="219"/>
    <x v="124"/>
  </r>
  <r>
    <x v="220"/>
    <x v="125"/>
  </r>
  <r>
    <x v="221"/>
    <x v="126"/>
  </r>
  <r>
    <x v="222"/>
    <x v="127"/>
  </r>
  <r>
    <x v="223"/>
    <x v="127"/>
  </r>
  <r>
    <x v="224"/>
    <x v="127"/>
  </r>
  <r>
    <x v="225"/>
    <x v="127"/>
  </r>
  <r>
    <x v="226"/>
    <x v="127"/>
  </r>
  <r>
    <x v="226"/>
    <x v="127"/>
  </r>
  <r>
    <x v="227"/>
    <x v="127"/>
  </r>
  <r>
    <x v="228"/>
    <x v="127"/>
  </r>
  <r>
    <x v="229"/>
    <x v="127"/>
  </r>
  <r>
    <x v="230"/>
    <x v="127"/>
  </r>
  <r>
    <x v="230"/>
    <x v="127"/>
  </r>
  <r>
    <x v="231"/>
    <x v="127"/>
  </r>
  <r>
    <x v="232"/>
    <x v="127"/>
  </r>
  <r>
    <x v="233"/>
    <x v="127"/>
  </r>
  <r>
    <x v="234"/>
    <x v="127"/>
  </r>
  <r>
    <x v="235"/>
    <x v="127"/>
  </r>
  <r>
    <x v="236"/>
    <x v="127"/>
  </r>
  <r>
    <x v="237"/>
    <x v="127"/>
  </r>
  <r>
    <x v="238"/>
    <x v="127"/>
  </r>
  <r>
    <x v="239"/>
    <x v="127"/>
  </r>
  <r>
    <x v="240"/>
    <x v="127"/>
  </r>
  <r>
    <x v="241"/>
    <x v="127"/>
  </r>
  <r>
    <x v="242"/>
    <x v="127"/>
  </r>
  <r>
    <x v="243"/>
    <x v="127"/>
  </r>
  <r>
    <x v="244"/>
    <x v="127"/>
  </r>
  <r>
    <x v="245"/>
    <x v="127"/>
  </r>
  <r>
    <x v="246"/>
    <x v="127"/>
  </r>
  <r>
    <x v="247"/>
    <x v="127"/>
  </r>
  <r>
    <x v="248"/>
    <x v="127"/>
  </r>
  <r>
    <x v="248"/>
    <x v="127"/>
  </r>
  <r>
    <x v="249"/>
    <x v="127"/>
  </r>
  <r>
    <x v="250"/>
    <x v="127"/>
  </r>
  <r>
    <x v="251"/>
    <x v="127"/>
  </r>
  <r>
    <x v="252"/>
    <x v="127"/>
  </r>
  <r>
    <x v="253"/>
    <x v="127"/>
  </r>
  <r>
    <x v="254"/>
    <x v="127"/>
  </r>
  <r>
    <x v="255"/>
    <x v="127"/>
  </r>
  <r>
    <x v="256"/>
    <x v="127"/>
  </r>
  <r>
    <x v="257"/>
    <x v="127"/>
  </r>
  <r>
    <x v="258"/>
    <x v="127"/>
  </r>
  <r>
    <x v="259"/>
    <x v="127"/>
  </r>
  <r>
    <x v="260"/>
    <x v="127"/>
  </r>
  <r>
    <x v="261"/>
    <x v="127"/>
  </r>
  <r>
    <x v="262"/>
    <x v="127"/>
  </r>
  <r>
    <x v="263"/>
    <x v="127"/>
  </r>
  <r>
    <x v="264"/>
    <x v="127"/>
  </r>
  <r>
    <x v="265"/>
    <x v="127"/>
  </r>
  <r>
    <x v="266"/>
    <x v="127"/>
  </r>
  <r>
    <x v="267"/>
    <x v="127"/>
  </r>
  <r>
    <x v="268"/>
    <x v="127"/>
  </r>
  <r>
    <x v="269"/>
    <x v="127"/>
  </r>
  <r>
    <x v="269"/>
    <x v="127"/>
  </r>
  <r>
    <x v="270"/>
    <x v="127"/>
  </r>
  <r>
    <x v="271"/>
    <x v="127"/>
  </r>
  <r>
    <x v="272"/>
    <x v="127"/>
  </r>
  <r>
    <x v="273"/>
    <x v="127"/>
  </r>
  <r>
    <x v="274"/>
    <x v="127"/>
  </r>
  <r>
    <x v="275"/>
    <x v="127"/>
  </r>
  <r>
    <x v="276"/>
    <x v="127"/>
  </r>
  <r>
    <x v="277"/>
    <x v="127"/>
  </r>
  <r>
    <x v="278"/>
    <x v="127"/>
  </r>
  <r>
    <x v="279"/>
    <x v="127"/>
  </r>
  <r>
    <x v="280"/>
    <x v="127"/>
  </r>
  <r>
    <x v="280"/>
    <x v="127"/>
  </r>
  <r>
    <x v="281"/>
    <x v="127"/>
  </r>
  <r>
    <x v="281"/>
    <x v="127"/>
  </r>
  <r>
    <x v="282"/>
    <x v="127"/>
  </r>
  <r>
    <x v="283"/>
    <x v="127"/>
  </r>
  <r>
    <x v="284"/>
    <x v="127"/>
  </r>
  <r>
    <x v="285"/>
    <x v="127"/>
  </r>
  <r>
    <x v="286"/>
    <x v="127"/>
  </r>
  <r>
    <x v="287"/>
    <x v="127"/>
  </r>
  <r>
    <x v="288"/>
    <x v="127"/>
  </r>
  <r>
    <x v="289"/>
    <x v="127"/>
  </r>
  <r>
    <x v="290"/>
    <x v="127"/>
  </r>
  <r>
    <x v="291"/>
    <x v="127"/>
  </r>
  <r>
    <x v="292"/>
    <x v="127"/>
  </r>
  <r>
    <x v="293"/>
    <x v="127"/>
  </r>
  <r>
    <x v="294"/>
    <x v="127"/>
  </r>
  <r>
    <x v="295"/>
    <x v="127"/>
  </r>
  <r>
    <x v="296"/>
    <x v="127"/>
  </r>
  <r>
    <x v="297"/>
    <x v="127"/>
  </r>
  <r>
    <x v="298"/>
    <x v="127"/>
  </r>
  <r>
    <x v="299"/>
    <x v="127"/>
  </r>
  <r>
    <x v="300"/>
    <x v="127"/>
  </r>
  <r>
    <x v="301"/>
    <x v="127"/>
  </r>
  <r>
    <x v="302"/>
    <x v="127"/>
  </r>
  <r>
    <x v="303"/>
    <x v="127"/>
  </r>
  <r>
    <x v="304"/>
    <x v="127"/>
  </r>
  <r>
    <x v="305"/>
    <x v="127"/>
  </r>
  <r>
    <x v="306"/>
    <x v="127"/>
  </r>
  <r>
    <x v="307"/>
    <x v="127"/>
  </r>
  <r>
    <x v="308"/>
    <x v="127"/>
  </r>
  <r>
    <x v="309"/>
    <x v="127"/>
  </r>
  <r>
    <x v="309"/>
    <x v="127"/>
  </r>
  <r>
    <x v="310"/>
    <x v="127"/>
  </r>
  <r>
    <x v="311"/>
    <x v="127"/>
  </r>
  <r>
    <x v="312"/>
    <x v="127"/>
  </r>
  <r>
    <x v="313"/>
    <x v="127"/>
  </r>
  <r>
    <x v="314"/>
    <x v="127"/>
  </r>
  <r>
    <x v="315"/>
    <x v="127"/>
  </r>
  <r>
    <x v="316"/>
    <x v="127"/>
  </r>
  <r>
    <x v="317"/>
    <x v="128"/>
  </r>
  <r>
    <x v="318"/>
    <x v="129"/>
  </r>
  <r>
    <x v="319"/>
    <x v="130"/>
  </r>
  <r>
    <x v="320"/>
    <x v="131"/>
  </r>
  <r>
    <x v="321"/>
    <x v="132"/>
  </r>
  <r>
    <x v="321"/>
    <x v="132"/>
  </r>
  <r>
    <x v="322"/>
    <x v="133"/>
  </r>
  <r>
    <x v="323"/>
    <x v="133"/>
  </r>
  <r>
    <x v="324"/>
    <x v="134"/>
  </r>
  <r>
    <x v="171"/>
    <x v="135"/>
  </r>
  <r>
    <x v="325"/>
    <x v="136"/>
  </r>
  <r>
    <x v="326"/>
    <x v="137"/>
  </r>
  <r>
    <x v="327"/>
    <x v="137"/>
  </r>
  <r>
    <x v="328"/>
    <x v="137"/>
  </r>
  <r>
    <x v="329"/>
    <x v="137"/>
  </r>
  <r>
    <x v="330"/>
    <x v="137"/>
  </r>
  <r>
    <x v="331"/>
    <x v="137"/>
  </r>
  <r>
    <x v="332"/>
    <x v="137"/>
  </r>
  <r>
    <x v="333"/>
    <x v="138"/>
  </r>
  <r>
    <x v="334"/>
    <x v="139"/>
  </r>
  <r>
    <x v="335"/>
    <x v="140"/>
  </r>
  <r>
    <x v="336"/>
    <x v="141"/>
  </r>
  <r>
    <x v="337"/>
    <x v="142"/>
  </r>
  <r>
    <x v="338"/>
    <x v="143"/>
  </r>
  <r>
    <x v="339"/>
    <x v="144"/>
  </r>
  <r>
    <x v="340"/>
    <x v="145"/>
  </r>
  <r>
    <x v="341"/>
    <x v="146"/>
  </r>
  <r>
    <x v="342"/>
    <x v="147"/>
  </r>
  <r>
    <x v="343"/>
    <x v="148"/>
  </r>
  <r>
    <x v="344"/>
    <x v="149"/>
  </r>
  <r>
    <x v="345"/>
    <x v="149"/>
  </r>
  <r>
    <x v="346"/>
    <x v="150"/>
  </r>
  <r>
    <x v="347"/>
    <x v="151"/>
  </r>
  <r>
    <x v="348"/>
    <x v="152"/>
  </r>
  <r>
    <x v="349"/>
    <x v="153"/>
  </r>
  <r>
    <x v="350"/>
    <x v="154"/>
  </r>
  <r>
    <x v="351"/>
    <x v="155"/>
  </r>
  <r>
    <x v="352"/>
    <x v="156"/>
  </r>
  <r>
    <x v="353"/>
    <x v="157"/>
  </r>
  <r>
    <x v="354"/>
    <x v="158"/>
  </r>
  <r>
    <x v="355"/>
    <x v="159"/>
  </r>
  <r>
    <x v="356"/>
    <x v="160"/>
  </r>
  <r>
    <x v="357"/>
    <x v="161"/>
  </r>
  <r>
    <x v="358"/>
    <x v="162"/>
  </r>
  <r>
    <x v="359"/>
    <x v="163"/>
  </r>
  <r>
    <x v="360"/>
    <x v="164"/>
  </r>
  <r>
    <x v="361"/>
    <x v="165"/>
  </r>
  <r>
    <x v="362"/>
    <x v="166"/>
  </r>
  <r>
    <x v="363"/>
    <x v="167"/>
  </r>
  <r>
    <x v="364"/>
    <x v="168"/>
  </r>
  <r>
    <x v="365"/>
    <x v="169"/>
  </r>
  <r>
    <x v="366"/>
    <x v="170"/>
  </r>
  <r>
    <x v="367"/>
    <x v="171"/>
  </r>
  <r>
    <x v="368"/>
    <x v="172"/>
  </r>
  <r>
    <x v="369"/>
    <x v="173"/>
  </r>
  <r>
    <x v="370"/>
    <x v="174"/>
  </r>
  <r>
    <x v="371"/>
    <x v="175"/>
  </r>
  <r>
    <x v="371"/>
    <x v="175"/>
  </r>
  <r>
    <x v="372"/>
    <x v="175"/>
  </r>
  <r>
    <x v="373"/>
    <x v="176"/>
  </r>
  <r>
    <x v="374"/>
    <x v="177"/>
  </r>
  <r>
    <x v="375"/>
    <x v="178"/>
  </r>
  <r>
    <x v="376"/>
    <x v="179"/>
  </r>
  <r>
    <x v="376"/>
    <x v="179"/>
  </r>
  <r>
    <x v="377"/>
    <x v="180"/>
  </r>
  <r>
    <x v="378"/>
    <x v="181"/>
  </r>
  <r>
    <x v="379"/>
    <x v="182"/>
  </r>
  <r>
    <x v="380"/>
    <x v="183"/>
  </r>
  <r>
    <x v="381"/>
    <x v="184"/>
  </r>
  <r>
    <x v="382"/>
    <x v="185"/>
  </r>
  <r>
    <x v="383"/>
    <x v="186"/>
  </r>
  <r>
    <x v="384"/>
    <x v="187"/>
  </r>
  <r>
    <x v="385"/>
    <x v="188"/>
  </r>
  <r>
    <x v="386"/>
    <x v="189"/>
  </r>
  <r>
    <x v="387"/>
    <x v="190"/>
  </r>
  <r>
    <x v="388"/>
    <x v="191"/>
  </r>
  <r>
    <x v="389"/>
    <x v="192"/>
  </r>
  <r>
    <x v="390"/>
    <x v="193"/>
  </r>
  <r>
    <x v="391"/>
    <x v="194"/>
  </r>
  <r>
    <x v="392"/>
    <x v="195"/>
  </r>
  <r>
    <x v="393"/>
    <x v="196"/>
  </r>
  <r>
    <x v="394"/>
    <x v="197"/>
  </r>
  <r>
    <x v="395"/>
    <x v="198"/>
  </r>
  <r>
    <x v="395"/>
    <x v="198"/>
  </r>
  <r>
    <x v="396"/>
    <x v="199"/>
  </r>
  <r>
    <x v="397"/>
    <x v="200"/>
  </r>
  <r>
    <x v="398"/>
    <x v="201"/>
  </r>
  <r>
    <x v="399"/>
    <x v="202"/>
  </r>
  <r>
    <x v="400"/>
    <x v="203"/>
  </r>
  <r>
    <x v="401"/>
    <x v="204"/>
  </r>
  <r>
    <x v="402"/>
    <x v="205"/>
  </r>
  <r>
    <x v="403"/>
    <x v="206"/>
  </r>
  <r>
    <x v="404"/>
    <x v="207"/>
  </r>
  <r>
    <x v="405"/>
    <x v="208"/>
  </r>
  <r>
    <x v="406"/>
    <x v="209"/>
  </r>
  <r>
    <x v="407"/>
    <x v="210"/>
  </r>
  <r>
    <x v="408"/>
    <x v="211"/>
  </r>
  <r>
    <x v="409"/>
    <x v="212"/>
  </r>
  <r>
    <x v="410"/>
    <x v="213"/>
  </r>
  <r>
    <x v="411"/>
    <x v="214"/>
  </r>
  <r>
    <x v="412"/>
    <x v="215"/>
  </r>
  <r>
    <x v="413"/>
    <x v="216"/>
  </r>
  <r>
    <x v="414"/>
    <x v="217"/>
  </r>
  <r>
    <x v="415"/>
    <x v="218"/>
  </r>
  <r>
    <x v="416"/>
    <x v="219"/>
  </r>
  <r>
    <x v="417"/>
    <x v="220"/>
  </r>
  <r>
    <x v="418"/>
    <x v="221"/>
  </r>
  <r>
    <x v="419"/>
    <x v="222"/>
  </r>
  <r>
    <x v="420"/>
    <x v="223"/>
  </r>
  <r>
    <x v="421"/>
    <x v="224"/>
  </r>
  <r>
    <x v="422"/>
    <x v="225"/>
  </r>
  <r>
    <x v="423"/>
    <x v="226"/>
  </r>
  <r>
    <x v="424"/>
    <x v="227"/>
  </r>
  <r>
    <x v="425"/>
    <x v="228"/>
  </r>
  <r>
    <x v="426"/>
    <x v="229"/>
  </r>
  <r>
    <x v="427"/>
    <x v="230"/>
  </r>
  <r>
    <x v="428"/>
    <x v="231"/>
  </r>
  <r>
    <x v="429"/>
    <x v="232"/>
  </r>
  <r>
    <x v="430"/>
    <x v="233"/>
  </r>
  <r>
    <x v="431"/>
    <x v="234"/>
  </r>
  <r>
    <x v="432"/>
    <x v="235"/>
  </r>
  <r>
    <x v="433"/>
    <x v="236"/>
  </r>
  <r>
    <x v="434"/>
    <x v="237"/>
  </r>
  <r>
    <x v="435"/>
    <x v="238"/>
  </r>
  <r>
    <x v="436"/>
    <x v="239"/>
  </r>
  <r>
    <x v="436"/>
    <x v="239"/>
  </r>
  <r>
    <x v="437"/>
    <x v="240"/>
  </r>
  <r>
    <x v="438"/>
    <x v="241"/>
  </r>
  <r>
    <x v="439"/>
    <x v="242"/>
  </r>
  <r>
    <x v="440"/>
    <x v="243"/>
  </r>
  <r>
    <x v="441"/>
    <x v="244"/>
  </r>
  <r>
    <x v="442"/>
    <x v="245"/>
  </r>
  <r>
    <x v="443"/>
    <x v="246"/>
  </r>
  <r>
    <x v="444"/>
    <x v="247"/>
  </r>
  <r>
    <x v="444"/>
    <x v="247"/>
  </r>
  <r>
    <x v="445"/>
    <x v="248"/>
  </r>
  <r>
    <x v="446"/>
    <x v="249"/>
  </r>
  <r>
    <x v="447"/>
    <x v="250"/>
  </r>
  <r>
    <x v="448"/>
    <x v="251"/>
  </r>
  <r>
    <x v="449"/>
    <x v="252"/>
  </r>
  <r>
    <x v="77"/>
    <x v="253"/>
  </r>
  <r>
    <x v="450"/>
    <x v="253"/>
  </r>
  <r>
    <x v="451"/>
    <x v="253"/>
  </r>
  <r>
    <x v="329"/>
    <x v="253"/>
  </r>
  <r>
    <x v="452"/>
    <x v="253"/>
  </r>
  <r>
    <x v="331"/>
    <x v="253"/>
  </r>
  <r>
    <x v="331"/>
    <x v="253"/>
  </r>
  <r>
    <x v="13"/>
    <x v="253"/>
  </r>
  <r>
    <x v="13"/>
    <x v="253"/>
  </r>
  <r>
    <x v="13"/>
    <x v="2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7FDCC-F6CC-45D0-9241-DE3848807F0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11" firstHeaderRow="1" firstDataRow="1" firstDataCol="1"/>
  <pivotFields count="2">
    <pivotField axis="axisRow" showAll="0" measureFilter="1" sortType="descending">
      <items count="454">
        <item x="222"/>
        <item x="420"/>
        <item x="155"/>
        <item x="168"/>
        <item x="375"/>
        <item x="427"/>
        <item x="279"/>
        <item x="260"/>
        <item x="60"/>
        <item x="419"/>
        <item x="142"/>
        <item x="389"/>
        <item x="112"/>
        <item x="109"/>
        <item x="390"/>
        <item x="311"/>
        <item x="143"/>
        <item x="268"/>
        <item x="353"/>
        <item x="226"/>
        <item x="245"/>
        <item x="102"/>
        <item x="442"/>
        <item x="133"/>
        <item x="334"/>
        <item x="335"/>
        <item x="349"/>
        <item x="151"/>
        <item x="247"/>
        <item x="274"/>
        <item x="195"/>
        <item x="81"/>
        <item x="223"/>
        <item x="391"/>
        <item x="73"/>
        <item x="360"/>
        <item x="171"/>
        <item x="440"/>
        <item x="106"/>
        <item x="154"/>
        <item x="121"/>
        <item x="186"/>
        <item x="132"/>
        <item x="215"/>
        <item x="373"/>
        <item x="128"/>
        <item x="25"/>
        <item x="452"/>
        <item x="176"/>
        <item x="198"/>
        <item x="254"/>
        <item x="169"/>
        <item x="157"/>
        <item x="30"/>
        <item x="32"/>
        <item x="267"/>
        <item x="165"/>
        <item x="41"/>
        <item x="238"/>
        <item x="134"/>
        <item x="103"/>
        <item x="126"/>
        <item x="241"/>
        <item x="209"/>
        <item x="304"/>
        <item x="256"/>
        <item x="345"/>
        <item x="410"/>
        <item x="429"/>
        <item x="412"/>
        <item x="379"/>
        <item x="76"/>
        <item x="16"/>
        <item x="100"/>
        <item x="127"/>
        <item x="352"/>
        <item x="361"/>
        <item x="395"/>
        <item x="270"/>
        <item x="411"/>
        <item x="338"/>
        <item x="405"/>
        <item x="280"/>
        <item x="359"/>
        <item x="430"/>
        <item x="205"/>
        <item x="350"/>
        <item x="24"/>
        <item x="305"/>
        <item x="9"/>
        <item x="116"/>
        <item x="416"/>
        <item x="348"/>
        <item x="99"/>
        <item x="208"/>
        <item x="397"/>
        <item x="114"/>
        <item x="31"/>
        <item x="415"/>
        <item x="370"/>
        <item x="86"/>
        <item x="436"/>
        <item x="445"/>
        <item x="122"/>
        <item x="194"/>
        <item x="11"/>
        <item x="52"/>
        <item x="231"/>
        <item x="314"/>
        <item x="367"/>
        <item x="63"/>
        <item x="107"/>
        <item x="400"/>
        <item x="178"/>
        <item x="89"/>
        <item x="232"/>
        <item x="301"/>
        <item x="372"/>
        <item x="250"/>
        <item x="13"/>
        <item x="371"/>
        <item x="83"/>
        <item x="337"/>
        <item x="64"/>
        <item x="74"/>
        <item x="108"/>
        <item x="38"/>
        <item x="217"/>
        <item x="318"/>
        <item x="441"/>
        <item x="450"/>
        <item x="438"/>
        <item x="357"/>
        <item x="17"/>
        <item x="332"/>
        <item x="173"/>
        <item x="291"/>
        <item x="306"/>
        <item x="246"/>
        <item x="362"/>
        <item x="224"/>
        <item x="439"/>
        <item x="417"/>
        <item x="414"/>
        <item x="248"/>
        <item x="275"/>
        <item x="257"/>
        <item x="326"/>
        <item x="22"/>
        <item x="125"/>
        <item x="1"/>
        <item x="386"/>
        <item x="428"/>
        <item x="152"/>
        <item x="393"/>
        <item x="355"/>
        <item x="193"/>
        <item x="244"/>
        <item x="239"/>
        <item x="399"/>
        <item x="229"/>
        <item x="380"/>
        <item x="228"/>
        <item x="206"/>
        <item x="312"/>
        <item x="191"/>
        <item x="266"/>
        <item x="136"/>
        <item x="161"/>
        <item x="262"/>
        <item x="88"/>
        <item x="185"/>
        <item x="5"/>
        <item x="37"/>
        <item x="187"/>
        <item x="295"/>
        <item x="91"/>
        <item x="150"/>
        <item x="79"/>
        <item x="23"/>
        <item x="409"/>
        <item x="153"/>
        <item x="308"/>
        <item x="249"/>
        <item x="218"/>
        <item x="329"/>
        <item x="27"/>
        <item x="146"/>
        <item x="53"/>
        <item x="12"/>
        <item x="333"/>
        <item x="227"/>
        <item x="179"/>
        <item x="10"/>
        <item x="46"/>
        <item x="180"/>
        <item x="131"/>
        <item x="200"/>
        <item x="40"/>
        <item x="212"/>
        <item x="341"/>
        <item x="145"/>
        <item x="385"/>
        <item x="293"/>
        <item x="354"/>
        <item x="261"/>
        <item x="443"/>
        <item x="392"/>
        <item x="210"/>
        <item x="237"/>
        <item x="111"/>
        <item x="35"/>
        <item x="221"/>
        <item x="401"/>
        <item x="421"/>
        <item x="62"/>
        <item x="358"/>
        <item x="451"/>
        <item x="259"/>
        <item x="319"/>
        <item x="322"/>
        <item x="383"/>
        <item x="444"/>
        <item x="288"/>
        <item x="406"/>
        <item x="44"/>
        <item x="77"/>
        <item x="398"/>
        <item x="160"/>
        <item x="342"/>
        <item x="159"/>
        <item x="264"/>
        <item x="351"/>
        <item x="113"/>
        <item x="364"/>
        <item x="188"/>
        <item x="285"/>
        <item x="366"/>
        <item x="300"/>
        <item x="369"/>
        <item x="252"/>
        <item x="141"/>
        <item x="382"/>
        <item x="4"/>
        <item x="425"/>
        <item x="138"/>
        <item x="8"/>
        <item x="135"/>
        <item x="310"/>
        <item x="6"/>
        <item x="96"/>
        <item x="286"/>
        <item x="243"/>
        <item x="325"/>
        <item x="309"/>
        <item x="235"/>
        <item x="93"/>
        <item x="211"/>
        <item x="203"/>
        <item x="29"/>
        <item x="273"/>
        <item x="59"/>
        <item x="20"/>
        <item x="251"/>
        <item x="189"/>
        <item x="201"/>
        <item x="347"/>
        <item x="26"/>
        <item x="204"/>
        <item x="236"/>
        <item x="296"/>
        <item x="269"/>
        <item x="356"/>
        <item x="402"/>
        <item x="54"/>
        <item x="447"/>
        <item x="144"/>
        <item x="214"/>
        <item x="196"/>
        <item x="36"/>
        <item x="220"/>
        <item x="177"/>
        <item x="115"/>
        <item x="174"/>
        <item x="283"/>
        <item x="424"/>
        <item x="39"/>
        <item x="181"/>
        <item x="328"/>
        <item x="449"/>
        <item x="90"/>
        <item x="394"/>
        <item x="175"/>
        <item x="183"/>
        <item x="434"/>
        <item x="117"/>
        <item x="363"/>
        <item x="320"/>
        <item x="272"/>
        <item x="302"/>
        <item x="289"/>
        <item x="42"/>
        <item x="182"/>
        <item x="216"/>
        <item x="340"/>
        <item x="276"/>
        <item x="376"/>
        <item x="281"/>
        <item x="70"/>
        <item x="130"/>
        <item x="124"/>
        <item x="137"/>
        <item x="80"/>
        <item x="94"/>
        <item x="282"/>
        <item x="339"/>
        <item x="75"/>
        <item x="321"/>
        <item x="69"/>
        <item x="163"/>
        <item x="105"/>
        <item x="327"/>
        <item x="56"/>
        <item x="172"/>
        <item x="95"/>
        <item x="47"/>
        <item x="82"/>
        <item x="387"/>
        <item x="190"/>
        <item x="101"/>
        <item x="18"/>
        <item x="263"/>
        <item x="202"/>
        <item x="162"/>
        <item x="287"/>
        <item x="170"/>
        <item x="418"/>
        <item x="167"/>
        <item x="45"/>
        <item x="384"/>
        <item x="48"/>
        <item x="316"/>
        <item x="55"/>
        <item x="0"/>
        <item x="199"/>
        <item x="346"/>
        <item x="297"/>
        <item x="378"/>
        <item x="278"/>
        <item x="192"/>
        <item x="71"/>
        <item x="225"/>
        <item x="140"/>
        <item x="423"/>
        <item x="213"/>
        <item x="343"/>
        <item x="87"/>
        <item x="388"/>
        <item x="61"/>
        <item x="396"/>
        <item x="344"/>
        <item x="104"/>
        <item x="413"/>
        <item x="374"/>
        <item x="166"/>
        <item x="197"/>
        <item x="7"/>
        <item x="426"/>
        <item x="240"/>
        <item x="15"/>
        <item x="84"/>
        <item x="292"/>
        <item x="336"/>
        <item x="290"/>
        <item x="98"/>
        <item x="34"/>
        <item x="184"/>
        <item x="230"/>
        <item x="315"/>
        <item x="129"/>
        <item x="97"/>
        <item x="51"/>
        <item x="110"/>
        <item x="219"/>
        <item x="234"/>
        <item x="148"/>
        <item x="437"/>
        <item x="92"/>
        <item x="119"/>
        <item x="3"/>
        <item x="207"/>
        <item x="14"/>
        <item x="407"/>
        <item x="85"/>
        <item x="446"/>
        <item x="433"/>
        <item x="149"/>
        <item x="72"/>
        <item x="323"/>
        <item x="158"/>
        <item x="299"/>
        <item x="404"/>
        <item x="147"/>
        <item x="242"/>
        <item x="422"/>
        <item x="365"/>
        <item x="58"/>
        <item x="78"/>
        <item x="255"/>
        <item x="139"/>
        <item x="435"/>
        <item x="67"/>
        <item x="324"/>
        <item x="330"/>
        <item x="368"/>
        <item x="294"/>
        <item x="277"/>
        <item x="123"/>
        <item x="68"/>
        <item x="65"/>
        <item x="258"/>
        <item x="265"/>
        <item x="403"/>
        <item x="43"/>
        <item x="313"/>
        <item x="377"/>
        <item x="66"/>
        <item x="448"/>
        <item x="303"/>
        <item x="21"/>
        <item x="253"/>
        <item x="118"/>
        <item x="50"/>
        <item x="298"/>
        <item x="431"/>
        <item x="432"/>
        <item x="233"/>
        <item x="307"/>
        <item x="408"/>
        <item x="2"/>
        <item x="49"/>
        <item x="57"/>
        <item x="271"/>
        <item x="33"/>
        <item x="28"/>
        <item x="19"/>
        <item x="156"/>
        <item x="284"/>
        <item x="164"/>
        <item x="120"/>
        <item x="331"/>
        <item x="317"/>
        <item x="3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55"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53"/>
        <item t="default"/>
      </items>
    </pivotField>
  </pivotFields>
  <rowFields count="1">
    <field x="0"/>
  </rowFields>
  <rowItems count="6">
    <i>
      <x v="343"/>
    </i>
    <i>
      <x v="150"/>
    </i>
    <i>
      <x v="439"/>
    </i>
    <i>
      <x v="389"/>
    </i>
    <i>
      <x v="24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1E5BF-0E93-4179-A6DF-437756B28393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7" firstHeaderRow="1" firstDataRow="1" firstDataCol="1"/>
  <pivotFields count="2">
    <pivotField axis="axisRow" compact="0" outline="0" showAll="0" sortType="descending" defaultSubtotal="0">
      <items count="5">
        <item x="3"/>
        <item x="0"/>
        <item h="1" x="1"/>
        <item x="4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 v="1"/>
    </i>
    <i>
      <x v="4"/>
    </i>
    <i>
      <x/>
    </i>
    <i>
      <x v="3"/>
    </i>
  </rowItems>
  <colItems count="1">
    <i/>
  </colItems>
  <dataFields count="1">
    <dataField name="Sum of Amount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95044-4A66-4140-8B0F-6012E88D3D2B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7" firstHeaderRow="1" firstDataRow="1" firstDataCol="1"/>
  <pivotFields count="2">
    <pivotField axis="axisRow" dataField="1" compact="0" outline="0" showAll="0" sortType="descending" defaultSubtotal="0">
      <items count="5">
        <item x="3"/>
        <item x="0"/>
        <item h="1" x="1"/>
        <item x="4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 v="1"/>
    </i>
    <i>
      <x v="4"/>
    </i>
    <i>
      <x v="3"/>
    </i>
    <i>
      <x/>
    </i>
  </rowItems>
  <colItems count="1">
    <i/>
  </colItems>
  <dataFields count="1">
    <dataField name="Count of Location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67584-5337-4D37-95AB-E7295FC0EDCC}" name="PivotTable18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A3:B8" firstHeaderRow="1" firstDataRow="1" firstDataCol="1"/>
  <pivotFields count="2">
    <pivotField axis="axisRow" compact="0" outline="0" showAll="0" sortType="descending" defaultSubtotal="0">
      <items count="5">
        <item x="3"/>
        <item x="0"/>
        <item x="1"/>
        <item x="4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 v="2"/>
    </i>
    <i>
      <x v="1"/>
    </i>
    <i>
      <x v="4"/>
    </i>
    <i>
      <x/>
    </i>
    <i>
      <x v="3"/>
    </i>
  </rowItems>
  <colItems count="1">
    <i/>
  </colItems>
  <dataFields count="1">
    <dataField name="Sum of Amount" fld="1" baseField="0" baseItem="0" numFmtId="44"/>
  </dataFields>
  <formats count="1">
    <format dxfId="0">
      <pivotArea outline="0" collapsedLevelsAreSubtotals="1" fieldPosition="0"/>
    </format>
  </formats>
  <chartFormats count="2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42A2F2-FC4D-408F-AB12-ED125404BAD3}" name="Table2" displayName="Table2" ref="A2:C7" totalsRowShown="0" headerRowDxfId="18" dataDxfId="17">
  <autoFilter ref="A2:C7" xr:uid="{3F42A2F2-FC4D-408F-AB12-ED125404BAD3}"/>
  <sortState xmlns:xlrd2="http://schemas.microsoft.com/office/spreadsheetml/2017/richdata2" ref="A3:C6">
    <sortCondition descending="1" ref="C4:C6"/>
  </sortState>
  <tableColumns count="3">
    <tableColumn id="1" xr3:uid="{324279E9-15F9-4F00-9D16-CD13E4F9AC1C}" name="Location" dataDxfId="16"/>
    <tableColumn id="2" xr3:uid="{D2B3B12B-D0E4-4208-B18D-6E33CF9BE597}" name="Number of Customers" dataDxfId="15">
      <calculatedColumnFormula>COUNTIF('Cleaned Data'!K:K,$A3)</calculatedColumnFormula>
    </tableColumn>
    <tableColumn id="3" xr3:uid="{64EF171B-22EB-4D85-9699-1D3001A1398C}" name="Revenue Contribution" dataDxfId="14" dataCellStyle="Currency">
      <calculatedColumnFormula>SUMIF('Cleaned Data'!$K:$K,$A3,'Cleaned Data'!$I:$I)</calculatedColumnFormula>
    </tableColumn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7737C7-91CA-4F4D-AFAE-C9B9EAD83F82}" name="Table3" displayName="Table3" ref="A12:C14" totalsRowShown="0" headerRowDxfId="13" dataDxfId="12">
  <autoFilter ref="A12:C14" xr:uid="{3F7737C7-91CA-4F4D-AFAE-C9B9EAD83F82}"/>
  <tableColumns count="3">
    <tableColumn id="1" xr3:uid="{2D80D162-25E8-4D77-8B11-047C1FCE0EDA}" name="Gender" dataDxfId="11"/>
    <tableColumn id="2" xr3:uid="{CB27E7C6-A1A7-4FC8-A990-A109E4562E98}" name="Total Spend ($)" dataDxfId="10" dataCellStyle="Currency">
      <calculatedColumnFormula>SUMIF('Cleaned Data'!D:D,"Female",'Cleaned Data'!I:I)</calculatedColumnFormula>
    </tableColumn>
    <tableColumn id="3" xr3:uid="{1B1FA346-390A-45D8-814C-9DF29C75C67C}" name="Average Spend($)" dataDxfId="9" dataCellStyle="Currency">
      <calculatedColumnFormula>AVERAGEIF('Cleaned Data'!D:D,"Female",'Cleaned Data'!I:I)</calculatedColumnFormula>
    </tableColumn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3F71A5-F809-4AF9-AD57-98FA578A30B7}" name="Table18" displayName="Table18" ref="J2:K4" totalsRowShown="0" headerRowDxfId="8" dataDxfId="7">
  <autoFilter ref="J2:K4" xr:uid="{143F71A5-F809-4AF9-AD57-98FA578A30B7}"/>
  <tableColumns count="2">
    <tableColumn id="1" xr3:uid="{D48D5FDC-6E1C-463E-AC4D-9FDE18733FA0}" name="Gender" dataDxfId="6"/>
    <tableColumn id="2" xr3:uid="{81B56CD4-A117-4C7F-BFBA-8FE0B82C6B9B}" name="Total Spenidng" dataDxfId="5" dataCellStyle="Currency">
      <calculatedColumnFormula>SUMIF('Cleaned Data'!D:D,'Analysis Sheet'!$J3,'Cleaned Data'!I:I)</calculatedColumnFormula>
    </tableColumn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76758B-D6D6-41B4-AB6D-25A4D0492104}" name="Table6" displayName="Table6" ref="A24:B31" totalsRowShown="0">
  <autoFilter ref="A24:B31" xr:uid="{1476758B-D6D6-41B4-AB6D-25A4D0492104}"/>
  <tableColumns count="2">
    <tableColumn id="1" xr3:uid="{4765D398-F87B-4FDB-A315-967C92112A8F}" name="Days of the Week" dataDxfId="4"/>
    <tableColumn id="2" xr3:uid="{56BE0BE4-6E3F-459E-92F7-494187CEEB51}" name="Purchase Frequency" dataDxfId="3" dataCellStyle="Currency">
      <calculatedColumnFormula>SUMIF('Cleaned Data'!G:G,'Analysis Sheet'!$A25,'Cleaned Data'!I:I)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93289-E730-40AA-AFAB-7CAB9A963828}" name="Table1" displayName="Table1" ref="A1:B482" totalsRowShown="0">
  <autoFilter ref="A1:B482" xr:uid="{A0693289-E730-40AA-AFAB-7CAB9A963828}"/>
  <tableColumns count="2">
    <tableColumn id="1" xr3:uid="{A9548337-A168-437F-9AAE-27426FF861F9}" name="Name" dataDxfId="2"/>
    <tableColumn id="2" xr3:uid="{A1A84EBA-8814-4468-A10E-786526506714}" name="Amount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408C-0FB4-4742-B4AB-C65E1E9C878F}">
  <dimension ref="A1:H500"/>
  <sheetViews>
    <sheetView workbookViewId="0">
      <selection activeCell="H324" sqref="H324"/>
    </sheetView>
  </sheetViews>
  <sheetFormatPr defaultRowHeight="15" x14ac:dyDescent="0.25"/>
  <cols>
    <col min="1" max="1" width="14.42578125" bestFit="1" customWidth="1"/>
    <col min="2" max="2" width="23" bestFit="1" customWidth="1"/>
    <col min="3" max="3" width="6.140625" bestFit="1" customWidth="1"/>
    <col min="4" max="4" width="7.42578125" bestFit="1" customWidth="1"/>
    <col min="5" max="5" width="13.85546875" bestFit="1" customWidth="1"/>
    <col min="6" max="6" width="10.140625" bestFit="1" customWidth="1"/>
    <col min="7" max="7" width="23.42578125" bestFit="1" customWidth="1"/>
    <col min="8" max="8" width="10.42578125" bestFit="1" customWidth="1"/>
  </cols>
  <sheetData>
    <row r="1" spans="1:8" x14ac:dyDescent="0.25">
      <c r="A1" s="1" t="s">
        <v>1012</v>
      </c>
      <c r="B1" s="1" t="s">
        <v>0</v>
      </c>
      <c r="C1" s="5" t="s">
        <v>1</v>
      </c>
      <c r="D1" s="1" t="s">
        <v>2</v>
      </c>
      <c r="E1" s="1" t="s">
        <v>1013</v>
      </c>
      <c r="F1" s="2" t="s">
        <v>1015</v>
      </c>
      <c r="G1" s="3" t="s">
        <v>1014</v>
      </c>
      <c r="H1" s="5" t="s">
        <v>567</v>
      </c>
    </row>
    <row r="2" spans="1:8" x14ac:dyDescent="0.25">
      <c r="A2" s="1" t="s">
        <v>24</v>
      </c>
      <c r="B2" s="1" t="s">
        <v>25</v>
      </c>
      <c r="C2" t="s">
        <v>563</v>
      </c>
      <c r="D2" s="1" t="s">
        <v>565</v>
      </c>
      <c r="E2" s="1" t="s">
        <v>189</v>
      </c>
      <c r="F2" s="2" t="s">
        <v>479</v>
      </c>
      <c r="G2" s="3">
        <v>9500</v>
      </c>
      <c r="H2" t="s">
        <v>570</v>
      </c>
    </row>
    <row r="3" spans="1:8" x14ac:dyDescent="0.25">
      <c r="A3" s="1" t="s">
        <v>26</v>
      </c>
      <c r="B3" s="1" t="s">
        <v>27</v>
      </c>
      <c r="D3" s="1" t="s">
        <v>564</v>
      </c>
      <c r="E3" s="1" t="s">
        <v>189</v>
      </c>
      <c r="F3" s="4">
        <v>43902</v>
      </c>
      <c r="G3" s="3">
        <v>5512.8263999426299</v>
      </c>
      <c r="H3" t="s">
        <v>568</v>
      </c>
    </row>
    <row r="4" spans="1:8" x14ac:dyDescent="0.25">
      <c r="A4" s="1" t="s">
        <v>3</v>
      </c>
      <c r="B4" s="1" t="s">
        <v>998</v>
      </c>
      <c r="C4" t="s">
        <v>563</v>
      </c>
      <c r="D4" s="1" t="s">
        <v>564</v>
      </c>
      <c r="E4" s="1" t="s">
        <v>189</v>
      </c>
      <c r="F4" s="2">
        <v>45346</v>
      </c>
      <c r="G4" s="3">
        <v>123000</v>
      </c>
      <c r="H4" t="s">
        <v>568</v>
      </c>
    </row>
    <row r="5" spans="1:8" x14ac:dyDescent="0.25">
      <c r="A5" s="1" t="s">
        <v>4</v>
      </c>
      <c r="B5" s="1" t="s">
        <v>999</v>
      </c>
      <c r="C5">
        <v>61</v>
      </c>
      <c r="D5" s="1" t="s">
        <v>5</v>
      </c>
      <c r="E5" s="1" t="s">
        <v>6</v>
      </c>
      <c r="F5" s="2" t="s">
        <v>476</v>
      </c>
      <c r="G5" s="3">
        <v>25000</v>
      </c>
      <c r="H5" t="s">
        <v>568</v>
      </c>
    </row>
    <row r="6" spans="1:8" x14ac:dyDescent="0.25">
      <c r="A6" s="1" t="s">
        <v>93</v>
      </c>
      <c r="B6" s="1" t="s">
        <v>616</v>
      </c>
      <c r="C6">
        <v>59</v>
      </c>
      <c r="D6" s="1" t="s">
        <v>8</v>
      </c>
      <c r="E6" s="1" t="s">
        <v>566</v>
      </c>
      <c r="F6" s="2">
        <v>40567</v>
      </c>
      <c r="G6" s="3">
        <v>430</v>
      </c>
      <c r="H6" t="s">
        <v>570</v>
      </c>
    </row>
    <row r="7" spans="1:8" x14ac:dyDescent="0.25">
      <c r="A7" s="1" t="s">
        <v>94</v>
      </c>
      <c r="B7" s="1" t="s">
        <v>617</v>
      </c>
      <c r="C7" t="s">
        <v>563</v>
      </c>
      <c r="D7" s="1" t="s">
        <v>565</v>
      </c>
      <c r="E7" s="1" t="s">
        <v>6</v>
      </c>
      <c r="F7" s="2">
        <v>45470</v>
      </c>
      <c r="G7" s="3">
        <v>9389.9050222972492</v>
      </c>
      <c r="H7" t="s">
        <v>568</v>
      </c>
    </row>
    <row r="8" spans="1:8" x14ac:dyDescent="0.25">
      <c r="A8" s="1" t="s">
        <v>95</v>
      </c>
      <c r="B8" s="1" t="s">
        <v>618</v>
      </c>
      <c r="D8" s="1" t="s">
        <v>8</v>
      </c>
      <c r="E8" s="1" t="s">
        <v>6</v>
      </c>
      <c r="F8" s="4">
        <v>43665</v>
      </c>
      <c r="G8" s="3">
        <v>9500</v>
      </c>
      <c r="H8" t="s">
        <v>571</v>
      </c>
    </row>
    <row r="9" spans="1:8" x14ac:dyDescent="0.25">
      <c r="A9" s="1" t="s">
        <v>96</v>
      </c>
      <c r="B9" s="1" t="s">
        <v>619</v>
      </c>
      <c r="C9" t="s">
        <v>563</v>
      </c>
      <c r="D9" s="1" t="s">
        <v>5</v>
      </c>
      <c r="E9" s="1" t="s">
        <v>6</v>
      </c>
      <c r="F9" s="2">
        <v>43719</v>
      </c>
      <c r="G9" s="3">
        <v>1500</v>
      </c>
      <c r="H9" t="s">
        <v>569</v>
      </c>
    </row>
    <row r="10" spans="1:8" x14ac:dyDescent="0.25">
      <c r="A10" s="1" t="s">
        <v>7</v>
      </c>
      <c r="B10" s="1" t="s">
        <v>1000</v>
      </c>
      <c r="C10">
        <v>38</v>
      </c>
      <c r="D10" s="1" t="s">
        <v>8</v>
      </c>
      <c r="E10" s="1" t="s">
        <v>566</v>
      </c>
      <c r="F10" s="2">
        <v>40438</v>
      </c>
      <c r="G10" s="3">
        <v>1700</v>
      </c>
      <c r="H10" t="s">
        <v>568</v>
      </c>
    </row>
    <row r="11" spans="1:8" x14ac:dyDescent="0.25">
      <c r="A11" s="1" t="s">
        <v>9</v>
      </c>
      <c r="B11" s="1" t="s">
        <v>1001</v>
      </c>
      <c r="C11" t="s">
        <v>563</v>
      </c>
      <c r="D11" s="1" t="s">
        <v>8</v>
      </c>
      <c r="E11" s="1" t="s">
        <v>189</v>
      </c>
      <c r="F11" s="2">
        <v>36839</v>
      </c>
      <c r="G11" s="3">
        <v>45000</v>
      </c>
    </row>
    <row r="12" spans="1:8" x14ac:dyDescent="0.25">
      <c r="A12" s="1" t="s">
        <v>10</v>
      </c>
      <c r="B12" s="1" t="s">
        <v>1002</v>
      </c>
      <c r="D12" s="1" t="s">
        <v>5</v>
      </c>
      <c r="E12" s="1" t="s">
        <v>566</v>
      </c>
      <c r="F12" s="2">
        <v>45526</v>
      </c>
      <c r="G12" s="3">
        <v>9500</v>
      </c>
      <c r="H12" t="s">
        <v>571</v>
      </c>
    </row>
    <row r="13" spans="1:8" x14ac:dyDescent="0.25">
      <c r="A13" s="1" t="s">
        <v>11</v>
      </c>
      <c r="B13" s="1" t="s">
        <v>1003</v>
      </c>
      <c r="C13" t="s">
        <v>563</v>
      </c>
      <c r="D13" s="1" t="s">
        <v>565</v>
      </c>
      <c r="E13" s="1" t="s">
        <v>6</v>
      </c>
      <c r="F13" s="2">
        <v>45492</v>
      </c>
      <c r="G13" s="3">
        <v>9821.6898489904106</v>
      </c>
    </row>
    <row r="14" spans="1:8" x14ac:dyDescent="0.25">
      <c r="A14" s="1" t="s">
        <v>12</v>
      </c>
      <c r="B14" s="1" t="s">
        <v>1004</v>
      </c>
      <c r="C14">
        <v>51</v>
      </c>
      <c r="D14" s="1" t="s">
        <v>5</v>
      </c>
      <c r="E14" s="1" t="s">
        <v>6</v>
      </c>
      <c r="F14" s="2">
        <v>43540</v>
      </c>
      <c r="G14" s="3">
        <v>2500</v>
      </c>
      <c r="H14" t="s">
        <v>570</v>
      </c>
    </row>
    <row r="15" spans="1:8" x14ac:dyDescent="0.25">
      <c r="A15" s="1" t="s">
        <v>13</v>
      </c>
      <c r="B15" s="1" t="s">
        <v>1005</v>
      </c>
      <c r="C15" t="s">
        <v>563</v>
      </c>
      <c r="D15" s="1" t="s">
        <v>565</v>
      </c>
      <c r="E15" s="1" t="s">
        <v>566</v>
      </c>
      <c r="F15" s="2" t="s">
        <v>477</v>
      </c>
      <c r="G15" s="3">
        <v>29370</v>
      </c>
      <c r="H15" t="s">
        <v>571</v>
      </c>
    </row>
    <row r="16" spans="1:8" x14ac:dyDescent="0.25">
      <c r="A16" s="1" t="s">
        <v>398</v>
      </c>
      <c r="B16" s="1" t="s">
        <v>920</v>
      </c>
      <c r="C16" t="s">
        <v>563</v>
      </c>
      <c r="D16" s="1" t="s">
        <v>8</v>
      </c>
      <c r="E16" s="1" t="s">
        <v>189</v>
      </c>
      <c r="F16" s="2">
        <v>37804</v>
      </c>
      <c r="G16" s="3">
        <v>242.10715510196599</v>
      </c>
      <c r="H16" t="s">
        <v>569</v>
      </c>
    </row>
    <row r="17" spans="1:8" x14ac:dyDescent="0.25">
      <c r="A17" s="1" t="s">
        <v>399</v>
      </c>
      <c r="B17" s="1" t="s">
        <v>921</v>
      </c>
      <c r="D17" s="1" t="s">
        <v>5</v>
      </c>
      <c r="E17" s="1" t="s">
        <v>189</v>
      </c>
      <c r="F17" s="2">
        <v>45334</v>
      </c>
      <c r="G17" s="3">
        <v>4148.4602702345501</v>
      </c>
      <c r="H17" t="s">
        <v>570</v>
      </c>
    </row>
    <row r="18" spans="1:8" x14ac:dyDescent="0.25">
      <c r="A18" s="1" t="s">
        <v>400</v>
      </c>
      <c r="B18" s="1" t="s">
        <v>922</v>
      </c>
      <c r="C18" t="s">
        <v>563</v>
      </c>
      <c r="D18" s="1" t="s">
        <v>8</v>
      </c>
      <c r="E18" s="1" t="s">
        <v>6</v>
      </c>
      <c r="F18" s="4">
        <v>44037</v>
      </c>
      <c r="G18" s="3">
        <v>8326.3702513058906</v>
      </c>
      <c r="H18" t="s">
        <v>570</v>
      </c>
    </row>
    <row r="19" spans="1:8" x14ac:dyDescent="0.25">
      <c r="A19" s="1" t="s">
        <v>401</v>
      </c>
      <c r="B19" s="1" t="s">
        <v>923</v>
      </c>
      <c r="C19" t="s">
        <v>563</v>
      </c>
      <c r="D19" s="1" t="s">
        <v>565</v>
      </c>
      <c r="E19" s="1" t="s">
        <v>189</v>
      </c>
      <c r="F19" s="4">
        <v>44369</v>
      </c>
      <c r="G19" s="3">
        <v>9500</v>
      </c>
      <c r="H19" t="s">
        <v>571</v>
      </c>
    </row>
    <row r="20" spans="1:8" x14ac:dyDescent="0.25">
      <c r="A20" s="1" t="s">
        <v>402</v>
      </c>
      <c r="B20" s="1" t="s">
        <v>924</v>
      </c>
      <c r="C20" t="s">
        <v>563</v>
      </c>
      <c r="D20" s="1" t="s">
        <v>5</v>
      </c>
      <c r="E20" s="1" t="s">
        <v>6</v>
      </c>
      <c r="F20" s="2" t="s">
        <v>545</v>
      </c>
      <c r="G20" s="3">
        <v>1500</v>
      </c>
      <c r="H20" t="s">
        <v>570</v>
      </c>
    </row>
    <row r="21" spans="1:8" ht="15.75" x14ac:dyDescent="0.3">
      <c r="A21" s="1" t="s">
        <v>14</v>
      </c>
      <c r="B21" s="1" t="s">
        <v>1006</v>
      </c>
      <c r="C21">
        <v>32</v>
      </c>
      <c r="D21" s="1" t="s">
        <v>8</v>
      </c>
      <c r="E21" s="1" t="s">
        <v>6</v>
      </c>
      <c r="F21" s="2">
        <v>37736</v>
      </c>
      <c r="G21" s="3">
        <v>9600</v>
      </c>
      <c r="H21" t="s">
        <v>569</v>
      </c>
    </row>
    <row r="22" spans="1:8" ht="15.75" x14ac:dyDescent="0.3">
      <c r="A22" s="1" t="s">
        <v>15</v>
      </c>
      <c r="B22" s="1" t="s">
        <v>1007</v>
      </c>
      <c r="C22">
        <v>46</v>
      </c>
      <c r="D22" s="1" t="s">
        <v>8</v>
      </c>
      <c r="E22" s="1" t="s">
        <v>189</v>
      </c>
      <c r="F22" s="2">
        <v>45390</v>
      </c>
      <c r="G22" s="3">
        <v>9500</v>
      </c>
      <c r="H22" t="s">
        <v>570</v>
      </c>
    </row>
    <row r="23" spans="1:8" ht="15.75" x14ac:dyDescent="0.3">
      <c r="A23" s="1" t="s">
        <v>16</v>
      </c>
      <c r="B23" s="1" t="s">
        <v>1008</v>
      </c>
      <c r="D23" s="1" t="s">
        <v>564</v>
      </c>
      <c r="E23" s="1" t="s">
        <v>189</v>
      </c>
      <c r="F23" s="4">
        <v>43599</v>
      </c>
      <c r="G23" s="3">
        <v>1500</v>
      </c>
    </row>
    <row r="24" spans="1:8" ht="15.75" x14ac:dyDescent="0.3">
      <c r="A24" s="1" t="s">
        <v>17</v>
      </c>
      <c r="B24" s="1" t="s">
        <v>1009</v>
      </c>
      <c r="C24" t="s">
        <v>563</v>
      </c>
      <c r="D24" s="1" t="s">
        <v>565</v>
      </c>
      <c r="E24" s="1" t="s">
        <v>6</v>
      </c>
      <c r="F24" s="4">
        <v>44166</v>
      </c>
      <c r="G24" s="3">
        <v>8846.8605197051202</v>
      </c>
      <c r="H24" t="s">
        <v>571</v>
      </c>
    </row>
    <row r="25" spans="1:8" ht="15.75" x14ac:dyDescent="0.3">
      <c r="A25" s="1" t="s">
        <v>18</v>
      </c>
      <c r="B25" s="1" t="s">
        <v>1010</v>
      </c>
      <c r="C25">
        <v>47</v>
      </c>
      <c r="D25" s="1" t="s">
        <v>564</v>
      </c>
      <c r="E25" s="1" t="s">
        <v>566</v>
      </c>
      <c r="F25" s="2" t="s">
        <v>478</v>
      </c>
      <c r="G25" s="3">
        <v>23000</v>
      </c>
      <c r="H25" t="s">
        <v>570</v>
      </c>
    </row>
    <row r="26" spans="1:8" ht="15.75" x14ac:dyDescent="0.3">
      <c r="A26" s="1" t="s">
        <v>19</v>
      </c>
      <c r="B26" s="1" t="s">
        <v>1011</v>
      </c>
      <c r="C26" t="s">
        <v>563</v>
      </c>
      <c r="D26" s="1" t="s">
        <v>5</v>
      </c>
      <c r="E26" s="1" t="s">
        <v>189</v>
      </c>
      <c r="F26" s="2">
        <v>45494</v>
      </c>
      <c r="G26" s="3">
        <v>5261.0190876246797</v>
      </c>
    </row>
    <row r="27" spans="1:8" ht="15.75" x14ac:dyDescent="0.3">
      <c r="A27" s="1" t="s">
        <v>20</v>
      </c>
      <c r="B27" s="1" t="s">
        <v>21</v>
      </c>
      <c r="C27" t="s">
        <v>563</v>
      </c>
      <c r="D27" s="1" t="s">
        <v>565</v>
      </c>
      <c r="E27" s="1" t="s">
        <v>189</v>
      </c>
      <c r="F27" s="2">
        <v>45278</v>
      </c>
      <c r="G27" s="3">
        <v>1500</v>
      </c>
      <c r="H27" t="s">
        <v>570</v>
      </c>
    </row>
    <row r="28" spans="1:8" ht="15.75" x14ac:dyDescent="0.3">
      <c r="A28" s="1" t="s">
        <v>22</v>
      </c>
      <c r="B28" s="1" t="s">
        <v>23</v>
      </c>
      <c r="C28">
        <v>58</v>
      </c>
      <c r="D28" s="1" t="s">
        <v>8</v>
      </c>
      <c r="E28" s="1" t="s">
        <v>566</v>
      </c>
      <c r="F28" s="2">
        <v>43735</v>
      </c>
      <c r="G28" s="3">
        <v>899.65041589135501</v>
      </c>
      <c r="H28" t="s">
        <v>568</v>
      </c>
    </row>
    <row r="29" spans="1:8" ht="15.75" x14ac:dyDescent="0.3">
      <c r="A29" s="1" t="s">
        <v>24</v>
      </c>
      <c r="B29" s="1" t="s">
        <v>25</v>
      </c>
      <c r="C29" t="s">
        <v>563</v>
      </c>
      <c r="D29" s="1" t="s">
        <v>565</v>
      </c>
      <c r="E29" s="1" t="s">
        <v>189</v>
      </c>
      <c r="F29" s="2" t="s">
        <v>479</v>
      </c>
      <c r="G29" s="3">
        <v>9500</v>
      </c>
      <c r="H29" t="s">
        <v>570</v>
      </c>
    </row>
    <row r="30" spans="1:8" ht="15.75" x14ac:dyDescent="0.3">
      <c r="A30" s="1" t="s">
        <v>26</v>
      </c>
      <c r="B30" s="1" t="s">
        <v>27</v>
      </c>
      <c r="D30" s="1" t="s">
        <v>564</v>
      </c>
      <c r="E30" s="1" t="s">
        <v>189</v>
      </c>
      <c r="F30" s="4">
        <v>43902</v>
      </c>
      <c r="G30" s="3">
        <v>5512.8263999426299</v>
      </c>
      <c r="H30" t="s">
        <v>568</v>
      </c>
    </row>
    <row r="31" spans="1:8" ht="15.75" x14ac:dyDescent="0.3">
      <c r="A31" s="1" t="s">
        <v>28</v>
      </c>
      <c r="B31" s="1" t="s">
        <v>29</v>
      </c>
      <c r="C31">
        <v>26</v>
      </c>
      <c r="D31" s="1" t="s">
        <v>30</v>
      </c>
      <c r="E31" s="1" t="s">
        <v>6</v>
      </c>
      <c r="F31" s="4">
        <v>43506</v>
      </c>
      <c r="G31" s="3">
        <v>1500</v>
      </c>
      <c r="H31" t="s">
        <v>568</v>
      </c>
    </row>
    <row r="32" spans="1:8" ht="15.75" x14ac:dyDescent="0.3">
      <c r="A32" s="1" t="s">
        <v>28</v>
      </c>
      <c r="B32" s="1" t="s">
        <v>29</v>
      </c>
      <c r="D32" s="1" t="s">
        <v>8</v>
      </c>
      <c r="E32" s="1" t="s">
        <v>6</v>
      </c>
      <c r="F32" s="2">
        <v>38148</v>
      </c>
      <c r="G32" s="3">
        <v>1500</v>
      </c>
    </row>
    <row r="33" spans="1:8" ht="15.75" x14ac:dyDescent="0.3">
      <c r="A33" s="1" t="s">
        <v>31</v>
      </c>
      <c r="B33" s="1" t="s">
        <v>32</v>
      </c>
      <c r="C33" t="s">
        <v>563</v>
      </c>
      <c r="D33" s="1" t="s">
        <v>5</v>
      </c>
      <c r="E33" s="1" t="s">
        <v>6</v>
      </c>
      <c r="F33" s="4">
        <v>44033</v>
      </c>
      <c r="G33" s="3">
        <v>9500</v>
      </c>
      <c r="H33" t="s">
        <v>571</v>
      </c>
    </row>
    <row r="34" spans="1:8" ht="15.75" x14ac:dyDescent="0.3">
      <c r="A34" s="1" t="s">
        <v>33</v>
      </c>
      <c r="B34" s="1" t="s">
        <v>34</v>
      </c>
      <c r="C34" t="s">
        <v>563</v>
      </c>
      <c r="D34" s="1" t="s">
        <v>564</v>
      </c>
      <c r="E34" s="1" t="s">
        <v>6</v>
      </c>
      <c r="F34" s="2">
        <v>44875</v>
      </c>
      <c r="G34" s="3">
        <v>356.91702389710002</v>
      </c>
    </row>
    <row r="35" spans="1:8" ht="15.75" x14ac:dyDescent="0.3">
      <c r="A35" s="1" t="s">
        <v>35</v>
      </c>
      <c r="B35" s="1" t="s">
        <v>36</v>
      </c>
      <c r="C35">
        <v>39</v>
      </c>
      <c r="D35" s="1" t="s">
        <v>8</v>
      </c>
      <c r="E35" s="1" t="s">
        <v>6</v>
      </c>
      <c r="F35" s="2" t="s">
        <v>480</v>
      </c>
      <c r="G35" s="3">
        <v>9500</v>
      </c>
    </row>
    <row r="36" spans="1:8" ht="15.75" x14ac:dyDescent="0.3">
      <c r="A36" s="1" t="s">
        <v>37</v>
      </c>
      <c r="B36" s="1" t="s">
        <v>38</v>
      </c>
      <c r="C36" t="s">
        <v>563</v>
      </c>
      <c r="D36" s="1" t="s">
        <v>565</v>
      </c>
      <c r="E36" s="1" t="s">
        <v>189</v>
      </c>
      <c r="F36" s="2">
        <v>31511</v>
      </c>
      <c r="G36" s="3">
        <v>1000</v>
      </c>
      <c r="H36" t="s">
        <v>568</v>
      </c>
    </row>
    <row r="37" spans="1:8" ht="15.75" x14ac:dyDescent="0.3">
      <c r="A37" s="1" t="s">
        <v>39</v>
      </c>
      <c r="B37" s="1" t="s">
        <v>40</v>
      </c>
      <c r="C37">
        <v>41</v>
      </c>
      <c r="D37" s="1" t="s">
        <v>564</v>
      </c>
      <c r="E37" s="1" t="s">
        <v>6</v>
      </c>
      <c r="F37" s="4">
        <v>44058</v>
      </c>
      <c r="G37" s="3">
        <v>1500</v>
      </c>
      <c r="H37" t="s">
        <v>569</v>
      </c>
    </row>
    <row r="38" spans="1:8" ht="15.75" x14ac:dyDescent="0.3">
      <c r="A38" s="1" t="s">
        <v>41</v>
      </c>
      <c r="B38" s="1" t="s">
        <v>42</v>
      </c>
      <c r="C38">
        <v>34</v>
      </c>
      <c r="D38" s="1" t="s">
        <v>5</v>
      </c>
      <c r="E38" s="1" t="s">
        <v>189</v>
      </c>
      <c r="F38" s="4">
        <v>43415</v>
      </c>
      <c r="G38" s="3">
        <v>9500</v>
      </c>
    </row>
    <row r="39" spans="1:8" ht="15.75" x14ac:dyDescent="0.3">
      <c r="A39" s="1" t="s">
        <v>43</v>
      </c>
      <c r="B39" s="1" t="s">
        <v>44</v>
      </c>
      <c r="D39" s="1" t="s">
        <v>8</v>
      </c>
      <c r="E39" s="1" t="s">
        <v>566</v>
      </c>
      <c r="F39" s="2">
        <v>45562</v>
      </c>
      <c r="G39" s="3">
        <v>5000</v>
      </c>
      <c r="H39" t="s">
        <v>569</v>
      </c>
    </row>
    <row r="40" spans="1:8" ht="15.75" x14ac:dyDescent="0.3">
      <c r="A40" s="1" t="s">
        <v>45</v>
      </c>
      <c r="B40" s="1" t="s">
        <v>46</v>
      </c>
      <c r="D40" s="1" t="s">
        <v>564</v>
      </c>
      <c r="E40" s="1" t="s">
        <v>6</v>
      </c>
      <c r="F40" s="4">
        <v>43506</v>
      </c>
      <c r="G40" s="3">
        <v>9500</v>
      </c>
      <c r="H40" t="s">
        <v>568</v>
      </c>
    </row>
    <row r="41" spans="1:8" ht="15.75" x14ac:dyDescent="0.3">
      <c r="A41" s="1" t="s">
        <v>47</v>
      </c>
      <c r="B41" s="1" t="s">
        <v>572</v>
      </c>
      <c r="C41">
        <v>64</v>
      </c>
      <c r="D41" s="1" t="s">
        <v>8</v>
      </c>
      <c r="E41" s="1" t="s">
        <v>6</v>
      </c>
      <c r="F41" s="2">
        <v>37130</v>
      </c>
      <c r="G41" s="3">
        <v>1500</v>
      </c>
      <c r="H41" t="s">
        <v>570</v>
      </c>
    </row>
    <row r="42" spans="1:8" ht="15.75" x14ac:dyDescent="0.3">
      <c r="A42" s="1" t="s">
        <v>48</v>
      </c>
      <c r="B42" s="1" t="s">
        <v>573</v>
      </c>
      <c r="C42" t="s">
        <v>563</v>
      </c>
      <c r="D42" s="1" t="s">
        <v>565</v>
      </c>
      <c r="E42" s="1" t="s">
        <v>6</v>
      </c>
      <c r="F42" s="2">
        <v>43129</v>
      </c>
      <c r="G42" s="3">
        <v>557.76850075566699</v>
      </c>
      <c r="H42" t="s">
        <v>569</v>
      </c>
    </row>
    <row r="43" spans="1:8" ht="15.75" x14ac:dyDescent="0.3">
      <c r="A43" s="1" t="s">
        <v>49</v>
      </c>
      <c r="B43" s="1" t="s">
        <v>574</v>
      </c>
      <c r="C43">
        <v>32</v>
      </c>
      <c r="D43" s="1" t="s">
        <v>564</v>
      </c>
      <c r="E43" s="1" t="s">
        <v>6</v>
      </c>
      <c r="F43" s="4">
        <v>44369</v>
      </c>
      <c r="G43" s="3">
        <v>1500</v>
      </c>
    </row>
    <row r="44" spans="1:8" ht="15.75" x14ac:dyDescent="0.3">
      <c r="A44" s="1" t="s">
        <v>50</v>
      </c>
      <c r="B44" s="1" t="s">
        <v>575</v>
      </c>
      <c r="D44" s="1" t="s">
        <v>8</v>
      </c>
      <c r="E44" s="1" t="s">
        <v>6</v>
      </c>
      <c r="F44" s="2" t="s">
        <v>481</v>
      </c>
      <c r="G44" s="3">
        <v>1500</v>
      </c>
    </row>
    <row r="45" spans="1:8" ht="15.75" x14ac:dyDescent="0.3">
      <c r="A45" s="1" t="s">
        <v>50</v>
      </c>
      <c r="B45" s="1" t="s">
        <v>575</v>
      </c>
      <c r="C45" t="s">
        <v>563</v>
      </c>
      <c r="D45" s="1" t="s">
        <v>8</v>
      </c>
      <c r="E45" s="1" t="s">
        <v>189</v>
      </c>
      <c r="F45" s="2" t="s">
        <v>481</v>
      </c>
      <c r="G45" s="3">
        <v>1500</v>
      </c>
      <c r="H45" t="s">
        <v>569</v>
      </c>
    </row>
    <row r="46" spans="1:8" ht="15.75" x14ac:dyDescent="0.3">
      <c r="A46" s="1" t="s">
        <v>51</v>
      </c>
      <c r="B46" s="1" t="s">
        <v>576</v>
      </c>
      <c r="C46" t="s">
        <v>563</v>
      </c>
      <c r="D46" s="1" t="s">
        <v>564</v>
      </c>
      <c r="E46" s="1" t="s">
        <v>6</v>
      </c>
      <c r="F46" s="2">
        <v>45340</v>
      </c>
      <c r="G46" s="3">
        <v>4781.1190331909002</v>
      </c>
    </row>
    <row r="47" spans="1:8" ht="15.75" x14ac:dyDescent="0.3">
      <c r="A47" s="1" t="s">
        <v>52</v>
      </c>
      <c r="B47" s="1" t="s">
        <v>577</v>
      </c>
      <c r="C47" t="s">
        <v>563</v>
      </c>
      <c r="D47" s="1" t="s">
        <v>5</v>
      </c>
      <c r="E47" s="1" t="s">
        <v>6</v>
      </c>
      <c r="F47" s="2" t="s">
        <v>482</v>
      </c>
      <c r="G47" s="3">
        <v>469.60288500642997</v>
      </c>
      <c r="H47" t="s">
        <v>569</v>
      </c>
    </row>
    <row r="48" spans="1:8" ht="15.75" x14ac:dyDescent="0.3">
      <c r="A48" s="1" t="s">
        <v>53</v>
      </c>
      <c r="B48" s="1" t="s">
        <v>578</v>
      </c>
      <c r="C48">
        <v>39</v>
      </c>
      <c r="D48" s="1" t="s">
        <v>565</v>
      </c>
      <c r="E48" s="1" t="s">
        <v>189</v>
      </c>
      <c r="F48" s="2" t="s">
        <v>483</v>
      </c>
      <c r="G48" s="3">
        <v>3595.7813250254299</v>
      </c>
    </row>
    <row r="49" spans="1:8" ht="15.75" x14ac:dyDescent="0.3">
      <c r="A49" s="1" t="s">
        <v>54</v>
      </c>
      <c r="B49" s="1" t="s">
        <v>579</v>
      </c>
      <c r="C49" t="s">
        <v>563</v>
      </c>
      <c r="D49" s="1" t="s">
        <v>564</v>
      </c>
      <c r="E49" s="1" t="s">
        <v>6</v>
      </c>
      <c r="F49" s="2" t="s">
        <v>484</v>
      </c>
      <c r="G49" s="3">
        <v>1500</v>
      </c>
      <c r="H49" t="s">
        <v>568</v>
      </c>
    </row>
    <row r="50" spans="1:8" ht="15.75" x14ac:dyDescent="0.3">
      <c r="A50" s="1" t="s">
        <v>55</v>
      </c>
      <c r="B50" s="1" t="s">
        <v>580</v>
      </c>
      <c r="C50">
        <v>54</v>
      </c>
      <c r="D50" s="1" t="s">
        <v>5</v>
      </c>
      <c r="E50" s="1" t="s">
        <v>6</v>
      </c>
      <c r="F50" s="2">
        <v>45466</v>
      </c>
      <c r="G50" s="3">
        <v>1500</v>
      </c>
      <c r="H50" t="s">
        <v>570</v>
      </c>
    </row>
    <row r="51" spans="1:8" ht="15.75" x14ac:dyDescent="0.3">
      <c r="A51" s="1" t="s">
        <v>56</v>
      </c>
      <c r="B51" s="1" t="s">
        <v>581</v>
      </c>
      <c r="C51" t="s">
        <v>563</v>
      </c>
      <c r="D51" s="1" t="s">
        <v>57</v>
      </c>
      <c r="E51" s="1" t="s">
        <v>6</v>
      </c>
      <c r="F51" s="2" t="s">
        <v>485</v>
      </c>
      <c r="G51" s="3">
        <v>2891.54626529602</v>
      </c>
      <c r="H51" t="s">
        <v>571</v>
      </c>
    </row>
    <row r="52" spans="1:8" ht="15.75" x14ac:dyDescent="0.3">
      <c r="A52" s="1" t="s">
        <v>58</v>
      </c>
      <c r="B52" s="1" t="s">
        <v>582</v>
      </c>
      <c r="D52" s="1" t="s">
        <v>564</v>
      </c>
      <c r="E52" s="1" t="s">
        <v>189</v>
      </c>
      <c r="F52" s="2">
        <v>40930</v>
      </c>
      <c r="G52" s="3">
        <v>702.66497333966004</v>
      </c>
      <c r="H52" t="s">
        <v>570</v>
      </c>
    </row>
    <row r="53" spans="1:8" ht="15.75" x14ac:dyDescent="0.3">
      <c r="A53" s="1" t="s">
        <v>59</v>
      </c>
      <c r="B53" s="1" t="s">
        <v>583</v>
      </c>
      <c r="C53">
        <v>68</v>
      </c>
      <c r="D53" s="1" t="s">
        <v>8</v>
      </c>
      <c r="E53" s="1" t="s">
        <v>189</v>
      </c>
      <c r="F53" s="2">
        <v>45478</v>
      </c>
      <c r="G53" s="3">
        <v>1500</v>
      </c>
      <c r="H53" t="s">
        <v>571</v>
      </c>
    </row>
    <row r="54" spans="1:8" ht="15.75" x14ac:dyDescent="0.3">
      <c r="A54" s="1" t="s">
        <v>60</v>
      </c>
      <c r="B54" s="1" t="s">
        <v>584</v>
      </c>
      <c r="D54" s="1" t="s">
        <v>8</v>
      </c>
      <c r="E54" s="1" t="s">
        <v>189</v>
      </c>
      <c r="F54" s="4">
        <v>43448</v>
      </c>
      <c r="G54" s="3">
        <v>9500</v>
      </c>
      <c r="H54" t="s">
        <v>570</v>
      </c>
    </row>
    <row r="55" spans="1:8" ht="15.75" x14ac:dyDescent="0.3">
      <c r="A55" s="1" t="s">
        <v>61</v>
      </c>
      <c r="B55" s="1" t="s">
        <v>585</v>
      </c>
      <c r="D55" s="1" t="s">
        <v>565</v>
      </c>
      <c r="E55" s="1" t="s">
        <v>6</v>
      </c>
      <c r="F55" s="2" t="s">
        <v>486</v>
      </c>
      <c r="G55" s="3">
        <v>90000</v>
      </c>
    </row>
    <row r="56" spans="1:8" ht="15.75" x14ac:dyDescent="0.3">
      <c r="A56" s="1" t="s">
        <v>62</v>
      </c>
      <c r="B56" s="1" t="s">
        <v>586</v>
      </c>
      <c r="C56">
        <v>36</v>
      </c>
      <c r="D56" s="1" t="s">
        <v>564</v>
      </c>
      <c r="E56" s="1" t="s">
        <v>6</v>
      </c>
      <c r="F56" s="2" t="s">
        <v>478</v>
      </c>
      <c r="G56" s="3">
        <v>1500</v>
      </c>
      <c r="H56" t="s">
        <v>568</v>
      </c>
    </row>
    <row r="57" spans="1:8" ht="15.75" x14ac:dyDescent="0.3">
      <c r="A57" s="1" t="s">
        <v>63</v>
      </c>
      <c r="B57" s="1" t="s">
        <v>587</v>
      </c>
      <c r="D57" s="1" t="s">
        <v>565</v>
      </c>
      <c r="E57" s="1" t="s">
        <v>6</v>
      </c>
      <c r="F57" s="2">
        <v>39098</v>
      </c>
      <c r="G57" s="3">
        <v>1500</v>
      </c>
    </row>
    <row r="58" spans="1:8" ht="15.75" x14ac:dyDescent="0.3">
      <c r="A58" s="1" t="s">
        <v>64</v>
      </c>
      <c r="B58" s="1" t="s">
        <v>588</v>
      </c>
      <c r="D58" s="1" t="s">
        <v>8</v>
      </c>
      <c r="E58" s="1" t="s">
        <v>189</v>
      </c>
      <c r="F58" s="2">
        <v>42351</v>
      </c>
      <c r="G58" s="3">
        <v>350.76710902160499</v>
      </c>
    </row>
    <row r="59" spans="1:8" ht="15.75" x14ac:dyDescent="0.3">
      <c r="A59" s="1" t="s">
        <v>65</v>
      </c>
      <c r="B59" s="1" t="s">
        <v>589</v>
      </c>
      <c r="C59">
        <v>28</v>
      </c>
      <c r="D59" s="1" t="s">
        <v>57</v>
      </c>
      <c r="E59" s="1" t="s">
        <v>189</v>
      </c>
      <c r="F59" s="2">
        <v>45457</v>
      </c>
      <c r="G59" s="3">
        <v>1500</v>
      </c>
      <c r="H59" t="s">
        <v>569</v>
      </c>
    </row>
    <row r="60" spans="1:8" ht="15.75" x14ac:dyDescent="0.3">
      <c r="A60" s="1" t="s">
        <v>66</v>
      </c>
      <c r="B60" s="1" t="s">
        <v>590</v>
      </c>
      <c r="C60">
        <v>57</v>
      </c>
      <c r="D60" s="1" t="s">
        <v>564</v>
      </c>
      <c r="E60" s="1" t="s">
        <v>566</v>
      </c>
      <c r="F60" s="2">
        <v>45440</v>
      </c>
      <c r="G60" s="3">
        <v>9500</v>
      </c>
    </row>
    <row r="61" spans="1:8" ht="15.75" x14ac:dyDescent="0.3">
      <c r="A61" s="1" t="s">
        <v>67</v>
      </c>
      <c r="B61" s="1" t="s">
        <v>591</v>
      </c>
      <c r="C61" t="s">
        <v>563</v>
      </c>
      <c r="D61" s="1" t="s">
        <v>564</v>
      </c>
      <c r="E61" s="1" t="s">
        <v>189</v>
      </c>
      <c r="F61" s="4">
        <v>43415</v>
      </c>
      <c r="G61" s="3">
        <v>1500</v>
      </c>
      <c r="H61" t="s">
        <v>570</v>
      </c>
    </row>
    <row r="62" spans="1:8" ht="15.75" x14ac:dyDescent="0.3">
      <c r="A62" s="1" t="s">
        <v>68</v>
      </c>
      <c r="B62" s="1" t="s">
        <v>592</v>
      </c>
      <c r="D62" s="1" t="s">
        <v>564</v>
      </c>
      <c r="E62" s="1" t="s">
        <v>6</v>
      </c>
      <c r="F62" s="2" t="s">
        <v>487</v>
      </c>
      <c r="G62" s="3">
        <v>9500</v>
      </c>
      <c r="H62" t="s">
        <v>569</v>
      </c>
    </row>
    <row r="63" spans="1:8" ht="15.75" x14ac:dyDescent="0.3">
      <c r="A63" s="1" t="s">
        <v>69</v>
      </c>
      <c r="B63" s="1" t="s">
        <v>593</v>
      </c>
      <c r="C63" t="s">
        <v>563</v>
      </c>
      <c r="D63" s="1" t="s">
        <v>70</v>
      </c>
      <c r="E63" s="1" t="s">
        <v>189</v>
      </c>
      <c r="F63" s="2">
        <v>39631</v>
      </c>
      <c r="G63" s="3">
        <v>85.340273519963603</v>
      </c>
      <c r="H63" t="s">
        <v>568</v>
      </c>
    </row>
    <row r="64" spans="1:8" ht="15.75" x14ac:dyDescent="0.3">
      <c r="A64" s="1" t="s">
        <v>71</v>
      </c>
      <c r="B64" s="1" t="s">
        <v>594</v>
      </c>
      <c r="C64">
        <v>40</v>
      </c>
      <c r="D64" s="1" t="s">
        <v>57</v>
      </c>
      <c r="E64" s="1" t="s">
        <v>6</v>
      </c>
      <c r="F64" s="2">
        <v>45297</v>
      </c>
      <c r="G64" s="3">
        <v>9500</v>
      </c>
    </row>
    <row r="65" spans="1:8" ht="15.75" x14ac:dyDescent="0.3">
      <c r="A65" s="1" t="s">
        <v>72</v>
      </c>
      <c r="B65" s="1" t="s">
        <v>595</v>
      </c>
      <c r="D65" s="1" t="s">
        <v>8</v>
      </c>
      <c r="E65" s="1" t="s">
        <v>6</v>
      </c>
      <c r="F65" s="2">
        <v>45048</v>
      </c>
      <c r="G65" s="3">
        <v>1500</v>
      </c>
    </row>
    <row r="66" spans="1:8" ht="15.75" x14ac:dyDescent="0.3">
      <c r="A66" s="1" t="s">
        <v>73</v>
      </c>
      <c r="B66" s="1" t="s">
        <v>596</v>
      </c>
      <c r="C66" t="s">
        <v>563</v>
      </c>
      <c r="D66" s="1" t="s">
        <v>5</v>
      </c>
      <c r="E66" s="1" t="s">
        <v>189</v>
      </c>
      <c r="F66" s="4">
        <v>44450</v>
      </c>
      <c r="G66" s="3">
        <v>1500</v>
      </c>
    </row>
    <row r="67" spans="1:8" ht="15.75" x14ac:dyDescent="0.3">
      <c r="A67" s="1" t="s">
        <v>74</v>
      </c>
      <c r="B67" s="1" t="s">
        <v>597</v>
      </c>
      <c r="C67" t="s">
        <v>563</v>
      </c>
      <c r="D67" s="1" t="s">
        <v>565</v>
      </c>
      <c r="E67" s="1" t="s">
        <v>189</v>
      </c>
      <c r="F67" s="2">
        <v>36789</v>
      </c>
      <c r="G67" s="3">
        <v>9500</v>
      </c>
      <c r="H67" t="s">
        <v>568</v>
      </c>
    </row>
    <row r="68" spans="1:8" ht="15.75" x14ac:dyDescent="0.3">
      <c r="A68" s="1" t="s">
        <v>75</v>
      </c>
      <c r="B68" s="1" t="s">
        <v>598</v>
      </c>
      <c r="C68" t="s">
        <v>563</v>
      </c>
      <c r="D68" s="1" t="s">
        <v>8</v>
      </c>
      <c r="E68" s="1" t="s">
        <v>189</v>
      </c>
      <c r="F68" s="4">
        <v>43554</v>
      </c>
      <c r="G68" s="3">
        <v>1438.83877847331</v>
      </c>
    </row>
    <row r="69" spans="1:8" ht="15.75" x14ac:dyDescent="0.3">
      <c r="A69" s="1" t="s">
        <v>76</v>
      </c>
      <c r="B69" s="1" t="s">
        <v>599</v>
      </c>
      <c r="C69">
        <v>36</v>
      </c>
      <c r="D69" s="1" t="s">
        <v>5</v>
      </c>
      <c r="E69" s="1" t="s">
        <v>6</v>
      </c>
      <c r="F69" s="2">
        <v>45298</v>
      </c>
      <c r="G69" s="3">
        <v>7400</v>
      </c>
    </row>
    <row r="70" spans="1:8" ht="15.75" x14ac:dyDescent="0.3">
      <c r="A70" s="1" t="s">
        <v>77</v>
      </c>
      <c r="B70" s="1" t="s">
        <v>600</v>
      </c>
      <c r="D70" s="1" t="s">
        <v>5</v>
      </c>
      <c r="E70" s="1" t="s">
        <v>6</v>
      </c>
      <c r="F70" s="2">
        <v>42253</v>
      </c>
      <c r="G70" s="3">
        <v>415.04744091550998</v>
      </c>
    </row>
    <row r="71" spans="1:8" ht="15.75" x14ac:dyDescent="0.3">
      <c r="A71" s="1" t="s">
        <v>78</v>
      </c>
      <c r="B71" s="1" t="s">
        <v>601</v>
      </c>
      <c r="D71" s="1" t="s">
        <v>565</v>
      </c>
      <c r="E71" s="1" t="s">
        <v>189</v>
      </c>
      <c r="F71" s="2" t="s">
        <v>488</v>
      </c>
      <c r="G71" s="3">
        <v>1500</v>
      </c>
    </row>
    <row r="72" spans="1:8" ht="15.75" x14ac:dyDescent="0.3">
      <c r="A72" s="1" t="s">
        <v>79</v>
      </c>
      <c r="B72" s="1" t="s">
        <v>602</v>
      </c>
      <c r="D72" s="1" t="s">
        <v>5</v>
      </c>
      <c r="E72" s="1" t="s">
        <v>189</v>
      </c>
      <c r="F72" s="2">
        <v>42802</v>
      </c>
      <c r="G72" s="3">
        <v>2910</v>
      </c>
      <c r="H72" t="s">
        <v>571</v>
      </c>
    </row>
    <row r="73" spans="1:8" ht="15.75" x14ac:dyDescent="0.3">
      <c r="A73" s="1" t="s">
        <v>80</v>
      </c>
      <c r="B73" s="1" t="s">
        <v>603</v>
      </c>
      <c r="C73">
        <v>34</v>
      </c>
      <c r="D73" s="1" t="s">
        <v>565</v>
      </c>
      <c r="E73" s="1" t="s">
        <v>189</v>
      </c>
      <c r="F73" s="2">
        <v>45531</v>
      </c>
      <c r="G73" s="3">
        <v>1500</v>
      </c>
      <c r="H73" t="s">
        <v>571</v>
      </c>
    </row>
    <row r="74" spans="1:8" ht="15.75" x14ac:dyDescent="0.3">
      <c r="A74" s="1" t="s">
        <v>81</v>
      </c>
      <c r="B74" s="1" t="s">
        <v>604</v>
      </c>
      <c r="C74">
        <v>54</v>
      </c>
      <c r="D74" s="1" t="s">
        <v>564</v>
      </c>
      <c r="E74" s="1" t="s">
        <v>6</v>
      </c>
      <c r="F74" s="2">
        <v>32760</v>
      </c>
      <c r="G74" s="3">
        <v>5614.7168288129496</v>
      </c>
    </row>
    <row r="75" spans="1:8" ht="15.75" x14ac:dyDescent="0.3">
      <c r="A75" s="1" t="s">
        <v>81</v>
      </c>
      <c r="B75" s="1" t="s">
        <v>604</v>
      </c>
      <c r="C75" t="s">
        <v>563</v>
      </c>
      <c r="D75" s="1" t="s">
        <v>564</v>
      </c>
      <c r="E75" s="1" t="s">
        <v>189</v>
      </c>
      <c r="F75" s="2">
        <v>32760</v>
      </c>
      <c r="G75" s="3">
        <v>5614.7168288129496</v>
      </c>
      <c r="H75" t="s">
        <v>571</v>
      </c>
    </row>
    <row r="76" spans="1:8" ht="15.75" x14ac:dyDescent="0.3">
      <c r="A76" s="1" t="s">
        <v>81</v>
      </c>
      <c r="B76" s="1" t="s">
        <v>604</v>
      </c>
      <c r="C76" t="s">
        <v>563</v>
      </c>
      <c r="D76" s="1" t="s">
        <v>564</v>
      </c>
      <c r="E76" s="1" t="s">
        <v>189</v>
      </c>
      <c r="F76" s="2">
        <v>32760</v>
      </c>
      <c r="G76" s="3">
        <v>5614.7168288129496</v>
      </c>
      <c r="H76" t="s">
        <v>571</v>
      </c>
    </row>
    <row r="77" spans="1:8" ht="15.75" x14ac:dyDescent="0.3">
      <c r="A77" s="1" t="s">
        <v>82</v>
      </c>
      <c r="B77" s="1" t="s">
        <v>605</v>
      </c>
      <c r="D77" s="1" t="s">
        <v>564</v>
      </c>
      <c r="E77" s="1" t="s">
        <v>189</v>
      </c>
      <c r="F77" s="2">
        <v>45533</v>
      </c>
      <c r="G77" s="3">
        <v>4671.3122754826099</v>
      </c>
      <c r="H77" t="s">
        <v>568</v>
      </c>
    </row>
    <row r="78" spans="1:8" ht="15.75" x14ac:dyDescent="0.3">
      <c r="A78" s="1" t="s">
        <v>83</v>
      </c>
      <c r="B78" s="1" t="s">
        <v>606</v>
      </c>
      <c r="C78">
        <v>46</v>
      </c>
      <c r="D78" s="1" t="s">
        <v>8</v>
      </c>
      <c r="E78" s="1" t="s">
        <v>189</v>
      </c>
      <c r="F78" s="2">
        <v>45487</v>
      </c>
      <c r="G78" s="3">
        <v>9500</v>
      </c>
    </row>
    <row r="79" spans="1:8" ht="15.75" x14ac:dyDescent="0.3">
      <c r="A79" s="1" t="s">
        <v>84</v>
      </c>
      <c r="B79" s="1" t="s">
        <v>607</v>
      </c>
      <c r="D79" s="1" t="s">
        <v>70</v>
      </c>
      <c r="E79" s="1" t="s">
        <v>189</v>
      </c>
      <c r="F79" s="2">
        <v>45378</v>
      </c>
      <c r="G79" s="3">
        <v>1500</v>
      </c>
      <c r="H79" t="s">
        <v>569</v>
      </c>
    </row>
    <row r="80" spans="1:8" ht="15.75" x14ac:dyDescent="0.3">
      <c r="A80" s="1" t="s">
        <v>85</v>
      </c>
      <c r="B80" s="1" t="s">
        <v>608</v>
      </c>
      <c r="C80">
        <v>22</v>
      </c>
      <c r="D80" s="1" t="s">
        <v>564</v>
      </c>
      <c r="E80" s="1" t="s">
        <v>566</v>
      </c>
      <c r="F80" s="4">
        <v>44369</v>
      </c>
      <c r="G80" s="3">
        <v>78000</v>
      </c>
      <c r="H80" t="s">
        <v>569</v>
      </c>
    </row>
    <row r="81" spans="1:8" ht="15.75" x14ac:dyDescent="0.3">
      <c r="A81" s="1" t="s">
        <v>86</v>
      </c>
      <c r="B81" s="1" t="s">
        <v>609</v>
      </c>
      <c r="D81" s="1" t="s">
        <v>8</v>
      </c>
      <c r="E81" s="1" t="s">
        <v>6</v>
      </c>
      <c r="F81" s="2">
        <v>45387</v>
      </c>
      <c r="G81" s="3">
        <v>9500</v>
      </c>
    </row>
    <row r="82" spans="1:8" ht="15.75" x14ac:dyDescent="0.3">
      <c r="A82" s="1" t="s">
        <v>87</v>
      </c>
      <c r="B82" s="1" t="s">
        <v>610</v>
      </c>
      <c r="C82">
        <v>21</v>
      </c>
      <c r="D82" s="1" t="s">
        <v>8</v>
      </c>
      <c r="E82" s="1" t="s">
        <v>6</v>
      </c>
      <c r="F82" s="2">
        <v>45354</v>
      </c>
      <c r="G82" s="3">
        <v>622.978819045254</v>
      </c>
    </row>
    <row r="83" spans="1:8" ht="15.75" x14ac:dyDescent="0.3">
      <c r="A83" s="1" t="s">
        <v>88</v>
      </c>
      <c r="B83" s="1" t="s">
        <v>611</v>
      </c>
      <c r="C83" t="s">
        <v>563</v>
      </c>
      <c r="D83" s="1" t="s">
        <v>8</v>
      </c>
      <c r="E83" s="1" t="s">
        <v>6</v>
      </c>
      <c r="F83" s="2" t="s">
        <v>489</v>
      </c>
      <c r="G83" s="3">
        <v>9500</v>
      </c>
      <c r="H83" t="s">
        <v>570</v>
      </c>
    </row>
    <row r="84" spans="1:8" ht="15.75" x14ac:dyDescent="0.3">
      <c r="A84" s="1" t="s">
        <v>89</v>
      </c>
      <c r="B84" s="1" t="s">
        <v>612</v>
      </c>
      <c r="C84">
        <v>25</v>
      </c>
      <c r="D84" s="1" t="s">
        <v>564</v>
      </c>
      <c r="E84" s="1" t="s">
        <v>6</v>
      </c>
      <c r="F84" s="2">
        <v>45511</v>
      </c>
      <c r="G84" s="3">
        <v>5600</v>
      </c>
    </row>
    <row r="85" spans="1:8" ht="15.75" x14ac:dyDescent="0.3">
      <c r="A85" s="1" t="s">
        <v>89</v>
      </c>
      <c r="B85" s="1" t="s">
        <v>612</v>
      </c>
      <c r="C85">
        <v>22</v>
      </c>
      <c r="D85" s="1" t="s">
        <v>564</v>
      </c>
      <c r="E85" s="1" t="s">
        <v>6</v>
      </c>
      <c r="F85" s="2">
        <v>45511</v>
      </c>
      <c r="G85" s="3">
        <v>1200</v>
      </c>
    </row>
    <row r="86" spans="1:8" ht="15.75" x14ac:dyDescent="0.3">
      <c r="A86" s="1" t="s">
        <v>90</v>
      </c>
      <c r="B86" s="1" t="s">
        <v>613</v>
      </c>
      <c r="C86" t="s">
        <v>563</v>
      </c>
      <c r="D86" s="1" t="s">
        <v>564</v>
      </c>
      <c r="E86" s="1" t="s">
        <v>6</v>
      </c>
      <c r="F86" s="2" t="s">
        <v>490</v>
      </c>
      <c r="G86" s="3">
        <v>6000</v>
      </c>
    </row>
    <row r="87" spans="1:8" ht="15.75" x14ac:dyDescent="0.3">
      <c r="A87" s="1" t="s">
        <v>91</v>
      </c>
      <c r="B87" s="1" t="s">
        <v>614</v>
      </c>
      <c r="D87" s="1" t="s">
        <v>8</v>
      </c>
      <c r="E87" s="1" t="s">
        <v>6</v>
      </c>
      <c r="F87" s="2" t="s">
        <v>491</v>
      </c>
      <c r="G87" s="3">
        <v>1500</v>
      </c>
      <c r="H87" t="s">
        <v>570</v>
      </c>
    </row>
    <row r="88" spans="1:8" ht="15.75" x14ac:dyDescent="0.3">
      <c r="A88" s="1" t="s">
        <v>92</v>
      </c>
      <c r="B88" s="1" t="s">
        <v>615</v>
      </c>
      <c r="D88" s="1" t="s">
        <v>8</v>
      </c>
      <c r="E88" s="1" t="s">
        <v>6</v>
      </c>
      <c r="F88" s="2">
        <v>45529</v>
      </c>
      <c r="G88" s="3">
        <v>1000</v>
      </c>
      <c r="H88" t="s">
        <v>570</v>
      </c>
    </row>
    <row r="89" spans="1:8" ht="15.75" x14ac:dyDescent="0.3">
      <c r="A89" s="1" t="s">
        <v>93</v>
      </c>
      <c r="B89" s="1" t="s">
        <v>616</v>
      </c>
      <c r="C89">
        <v>59</v>
      </c>
      <c r="D89" s="1" t="s">
        <v>8</v>
      </c>
      <c r="E89" s="1" t="s">
        <v>566</v>
      </c>
      <c r="F89" s="2">
        <v>40567</v>
      </c>
      <c r="G89" s="3">
        <v>430</v>
      </c>
      <c r="H89" t="s">
        <v>570</v>
      </c>
    </row>
    <row r="90" spans="1:8" ht="15.75" x14ac:dyDescent="0.3">
      <c r="A90" s="1" t="s">
        <v>94</v>
      </c>
      <c r="B90" s="1" t="s">
        <v>617</v>
      </c>
      <c r="C90" t="s">
        <v>563</v>
      </c>
      <c r="D90" s="1" t="s">
        <v>565</v>
      </c>
      <c r="E90" s="1" t="s">
        <v>6</v>
      </c>
      <c r="F90" s="2">
        <v>45470</v>
      </c>
      <c r="G90" s="3">
        <v>9389.9050222972492</v>
      </c>
      <c r="H90" t="s">
        <v>568</v>
      </c>
    </row>
    <row r="91" spans="1:8" ht="15.75" x14ac:dyDescent="0.3">
      <c r="A91" s="1" t="s">
        <v>95</v>
      </c>
      <c r="B91" s="1" t="s">
        <v>618</v>
      </c>
      <c r="D91" s="1" t="s">
        <v>8</v>
      </c>
      <c r="E91" s="1" t="s">
        <v>6</v>
      </c>
      <c r="F91" s="4">
        <v>43665</v>
      </c>
      <c r="G91" s="3">
        <v>9500</v>
      </c>
      <c r="H91" t="s">
        <v>571</v>
      </c>
    </row>
    <row r="92" spans="1:8" ht="15.75" x14ac:dyDescent="0.3">
      <c r="A92" s="1" t="s">
        <v>96</v>
      </c>
      <c r="B92" s="1" t="s">
        <v>619</v>
      </c>
      <c r="C92" t="s">
        <v>563</v>
      </c>
      <c r="D92" s="1" t="s">
        <v>5</v>
      </c>
      <c r="E92" s="1" t="s">
        <v>6</v>
      </c>
      <c r="F92" s="2">
        <v>43719</v>
      </c>
      <c r="G92" s="3">
        <v>1500</v>
      </c>
      <c r="H92" t="s">
        <v>569</v>
      </c>
    </row>
    <row r="93" spans="1:8" ht="15.75" x14ac:dyDescent="0.3">
      <c r="A93" s="1" t="s">
        <v>97</v>
      </c>
      <c r="B93" s="1" t="s">
        <v>620</v>
      </c>
      <c r="C93" t="s">
        <v>563</v>
      </c>
      <c r="D93" s="1" t="s">
        <v>5</v>
      </c>
      <c r="E93" s="1" t="s">
        <v>6</v>
      </c>
      <c r="F93" s="2" t="s">
        <v>492</v>
      </c>
      <c r="G93" s="3">
        <v>969.30685053361901</v>
      </c>
      <c r="H93" t="s">
        <v>570</v>
      </c>
    </row>
    <row r="94" spans="1:8" ht="15.75" x14ac:dyDescent="0.3">
      <c r="A94" s="1" t="s">
        <v>98</v>
      </c>
      <c r="B94" s="1" t="s">
        <v>621</v>
      </c>
      <c r="D94" s="1" t="s">
        <v>564</v>
      </c>
      <c r="E94" s="1" t="s">
        <v>566</v>
      </c>
      <c r="F94" s="2" t="s">
        <v>493</v>
      </c>
      <c r="G94" s="3">
        <v>9626.6635727363991</v>
      </c>
    </row>
    <row r="95" spans="1:8" ht="15.75" x14ac:dyDescent="0.3">
      <c r="A95" s="1" t="s">
        <v>99</v>
      </c>
      <c r="B95" s="1" t="s">
        <v>622</v>
      </c>
      <c r="C95">
        <v>69</v>
      </c>
      <c r="D95" s="1" t="s">
        <v>8</v>
      </c>
      <c r="E95" s="1" t="s">
        <v>566</v>
      </c>
      <c r="F95" s="2">
        <v>45551</v>
      </c>
      <c r="G95" s="3">
        <v>9500</v>
      </c>
      <c r="H95" t="s">
        <v>571</v>
      </c>
    </row>
    <row r="96" spans="1:8" ht="15.75" x14ac:dyDescent="0.3">
      <c r="A96" s="1" t="s">
        <v>100</v>
      </c>
      <c r="B96" s="1" t="s">
        <v>623</v>
      </c>
      <c r="C96" t="s">
        <v>563</v>
      </c>
      <c r="D96" s="1" t="s">
        <v>8</v>
      </c>
      <c r="E96" s="1" t="s">
        <v>566</v>
      </c>
      <c r="F96" s="2">
        <v>40280</v>
      </c>
      <c r="G96" s="3">
        <v>9500</v>
      </c>
    </row>
    <row r="97" spans="1:8" ht="15.75" x14ac:dyDescent="0.3">
      <c r="A97" s="1" t="s">
        <v>101</v>
      </c>
      <c r="B97" s="1" t="s">
        <v>624</v>
      </c>
      <c r="C97" t="s">
        <v>563</v>
      </c>
      <c r="D97" s="1" t="s">
        <v>5</v>
      </c>
      <c r="E97" s="1" t="s">
        <v>6</v>
      </c>
      <c r="F97" s="2">
        <v>45325</v>
      </c>
      <c r="G97" s="3">
        <v>1500</v>
      </c>
      <c r="H97" t="s">
        <v>569</v>
      </c>
    </row>
    <row r="98" spans="1:8" ht="15.75" x14ac:dyDescent="0.3">
      <c r="A98" s="1" t="s">
        <v>102</v>
      </c>
      <c r="B98" s="1" t="s">
        <v>625</v>
      </c>
      <c r="C98">
        <v>27</v>
      </c>
      <c r="D98" s="1" t="s">
        <v>565</v>
      </c>
      <c r="E98" s="1" t="s">
        <v>189</v>
      </c>
      <c r="F98" s="2" t="s">
        <v>494</v>
      </c>
      <c r="G98" s="3">
        <v>9500</v>
      </c>
    </row>
    <row r="99" spans="1:8" ht="15.75" x14ac:dyDescent="0.3">
      <c r="A99" s="1" t="s">
        <v>103</v>
      </c>
      <c r="B99" s="1" t="s">
        <v>626</v>
      </c>
      <c r="C99">
        <v>67</v>
      </c>
      <c r="D99" s="1" t="s">
        <v>565</v>
      </c>
      <c r="E99" s="1" t="s">
        <v>566</v>
      </c>
      <c r="F99" s="2">
        <v>35252</v>
      </c>
      <c r="G99" s="3">
        <v>9497.6640579601208</v>
      </c>
      <c r="H99" t="s">
        <v>568</v>
      </c>
    </row>
    <row r="100" spans="1:8" ht="15.75" x14ac:dyDescent="0.3">
      <c r="A100" s="1" t="s">
        <v>104</v>
      </c>
      <c r="B100" s="1" t="s">
        <v>627</v>
      </c>
      <c r="D100" s="1" t="s">
        <v>8</v>
      </c>
      <c r="E100" s="1" t="s">
        <v>189</v>
      </c>
      <c r="F100" s="2">
        <v>45448</v>
      </c>
      <c r="G100" s="3">
        <v>9500</v>
      </c>
    </row>
    <row r="101" spans="1:8" ht="15.75" x14ac:dyDescent="0.3">
      <c r="A101" s="1" t="s">
        <v>105</v>
      </c>
      <c r="B101" s="1" t="s">
        <v>628</v>
      </c>
      <c r="C101">
        <v>63</v>
      </c>
      <c r="D101" s="1" t="s">
        <v>565</v>
      </c>
      <c r="E101" s="1" t="s">
        <v>6</v>
      </c>
      <c r="F101" s="2">
        <v>42233</v>
      </c>
      <c r="G101" s="3">
        <v>9500</v>
      </c>
      <c r="H101" t="s">
        <v>570</v>
      </c>
    </row>
    <row r="102" spans="1:8" ht="15.75" x14ac:dyDescent="0.3">
      <c r="A102" s="1" t="s">
        <v>106</v>
      </c>
      <c r="B102" s="1" t="s">
        <v>629</v>
      </c>
      <c r="D102" s="1" t="s">
        <v>8</v>
      </c>
      <c r="E102" s="1" t="s">
        <v>6</v>
      </c>
      <c r="F102" s="2">
        <v>40521</v>
      </c>
      <c r="G102" s="3">
        <v>217.27134317407501</v>
      </c>
      <c r="H102" t="s">
        <v>569</v>
      </c>
    </row>
    <row r="103" spans="1:8" ht="15.75" x14ac:dyDescent="0.3">
      <c r="A103" s="1" t="s">
        <v>107</v>
      </c>
      <c r="B103" s="1" t="s">
        <v>630</v>
      </c>
      <c r="D103" s="1" t="s">
        <v>565</v>
      </c>
      <c r="E103" s="1" t="s">
        <v>189</v>
      </c>
      <c r="F103" s="4">
        <v>43554</v>
      </c>
      <c r="G103" s="3">
        <v>3200</v>
      </c>
      <c r="H103" t="s">
        <v>568</v>
      </c>
    </row>
    <row r="104" spans="1:8" ht="15.75" x14ac:dyDescent="0.3">
      <c r="A104" s="1" t="s">
        <v>108</v>
      </c>
      <c r="B104" s="1" t="s">
        <v>631</v>
      </c>
      <c r="C104" t="s">
        <v>563</v>
      </c>
      <c r="D104" s="1" t="s">
        <v>564</v>
      </c>
      <c r="E104" s="1" t="s">
        <v>6</v>
      </c>
      <c r="F104" s="2">
        <v>39054</v>
      </c>
      <c r="G104" s="3">
        <v>9164.4125319253599</v>
      </c>
      <c r="H104" t="s">
        <v>571</v>
      </c>
    </row>
    <row r="105" spans="1:8" ht="15.75" x14ac:dyDescent="0.3">
      <c r="A105" s="1" t="s">
        <v>109</v>
      </c>
      <c r="B105" s="1" t="s">
        <v>632</v>
      </c>
      <c r="C105">
        <v>69</v>
      </c>
      <c r="D105" s="1" t="s">
        <v>5</v>
      </c>
      <c r="E105" s="1" t="s">
        <v>189</v>
      </c>
      <c r="F105" s="4">
        <v>44140</v>
      </c>
      <c r="G105" s="3">
        <v>972.09324437361602</v>
      </c>
    </row>
    <row r="106" spans="1:8" ht="15.75" x14ac:dyDescent="0.3">
      <c r="A106" s="1" t="s">
        <v>110</v>
      </c>
      <c r="B106" s="1" t="s">
        <v>633</v>
      </c>
      <c r="C106">
        <v>37</v>
      </c>
      <c r="D106" s="1" t="s">
        <v>8</v>
      </c>
      <c r="E106" s="1" t="s">
        <v>6</v>
      </c>
      <c r="F106" s="4">
        <v>44166</v>
      </c>
      <c r="G106" s="3">
        <v>9500</v>
      </c>
    </row>
    <row r="107" spans="1:8" ht="15.75" x14ac:dyDescent="0.3">
      <c r="A107" s="1" t="s">
        <v>111</v>
      </c>
      <c r="B107" s="1" t="s">
        <v>634</v>
      </c>
      <c r="C107" t="s">
        <v>563</v>
      </c>
      <c r="D107" s="1" t="s">
        <v>8</v>
      </c>
      <c r="E107" s="1" t="s">
        <v>189</v>
      </c>
      <c r="F107" s="2">
        <v>40723</v>
      </c>
      <c r="G107" s="3">
        <v>660.45277403917498</v>
      </c>
    </row>
    <row r="108" spans="1:8" ht="15.75" x14ac:dyDescent="0.3">
      <c r="A108" s="1" t="s">
        <v>112</v>
      </c>
      <c r="B108" s="1" t="s">
        <v>635</v>
      </c>
      <c r="C108" t="s">
        <v>563</v>
      </c>
      <c r="D108" s="1" t="s">
        <v>565</v>
      </c>
      <c r="E108" s="1" t="s">
        <v>189</v>
      </c>
      <c r="F108" s="2">
        <v>43051</v>
      </c>
      <c r="G108" s="3">
        <v>611.78021298985504</v>
      </c>
      <c r="H108" t="s">
        <v>568</v>
      </c>
    </row>
    <row r="109" spans="1:8" ht="15.75" x14ac:dyDescent="0.3">
      <c r="A109" s="1" t="s">
        <v>113</v>
      </c>
      <c r="B109" s="1" t="s">
        <v>636</v>
      </c>
      <c r="C109">
        <v>41</v>
      </c>
      <c r="D109" s="1" t="s">
        <v>565</v>
      </c>
      <c r="E109" s="1" t="s">
        <v>189</v>
      </c>
      <c r="F109" s="2">
        <v>37121</v>
      </c>
      <c r="G109" s="3">
        <v>1500</v>
      </c>
      <c r="H109" t="s">
        <v>568</v>
      </c>
    </row>
    <row r="110" spans="1:8" ht="15.75" x14ac:dyDescent="0.3">
      <c r="A110" s="1" t="s">
        <v>114</v>
      </c>
      <c r="B110" s="1" t="s">
        <v>637</v>
      </c>
      <c r="D110" s="1" t="s">
        <v>70</v>
      </c>
      <c r="E110" s="1" t="s">
        <v>566</v>
      </c>
      <c r="F110" s="2" t="s">
        <v>495</v>
      </c>
      <c r="G110" s="3">
        <v>618.26118861472298</v>
      </c>
    </row>
    <row r="111" spans="1:8" ht="15.75" x14ac:dyDescent="0.3">
      <c r="A111" s="1" t="s">
        <v>115</v>
      </c>
      <c r="B111" s="1" t="s">
        <v>638</v>
      </c>
      <c r="C111">
        <v>30</v>
      </c>
      <c r="D111" s="1" t="s">
        <v>565</v>
      </c>
      <c r="E111" s="1" t="s">
        <v>6</v>
      </c>
      <c r="F111" s="2">
        <v>41685</v>
      </c>
      <c r="G111" s="3">
        <v>942.86936174279003</v>
      </c>
      <c r="H111" t="s">
        <v>570</v>
      </c>
    </row>
    <row r="112" spans="1:8" ht="15.75" x14ac:dyDescent="0.3">
      <c r="A112" s="1" t="s">
        <v>116</v>
      </c>
      <c r="B112" s="1" t="s">
        <v>639</v>
      </c>
      <c r="C112">
        <v>56</v>
      </c>
      <c r="D112" s="1" t="s">
        <v>5</v>
      </c>
      <c r="E112" s="1" t="s">
        <v>189</v>
      </c>
      <c r="F112" s="2">
        <v>44665</v>
      </c>
      <c r="G112" s="3">
        <v>767.640591072284</v>
      </c>
      <c r="H112" t="s">
        <v>571</v>
      </c>
    </row>
    <row r="113" spans="1:8" ht="15.75" x14ac:dyDescent="0.3">
      <c r="A113" s="1" t="s">
        <v>117</v>
      </c>
      <c r="B113" s="1" t="s">
        <v>640</v>
      </c>
      <c r="C113" t="s">
        <v>563</v>
      </c>
      <c r="D113" s="1" t="s">
        <v>5</v>
      </c>
      <c r="E113" s="1" t="s">
        <v>6</v>
      </c>
      <c r="F113" s="4">
        <v>44742</v>
      </c>
      <c r="G113" s="3">
        <v>9500</v>
      </c>
      <c r="H113" t="s">
        <v>568</v>
      </c>
    </row>
    <row r="114" spans="1:8" ht="15.75" x14ac:dyDescent="0.3">
      <c r="A114" s="1" t="s">
        <v>118</v>
      </c>
      <c r="B114" s="1" t="s">
        <v>641</v>
      </c>
      <c r="D114" s="1" t="s">
        <v>5</v>
      </c>
      <c r="E114" s="1" t="s">
        <v>189</v>
      </c>
      <c r="F114" s="2">
        <v>45373</v>
      </c>
      <c r="G114" s="3">
        <v>12000</v>
      </c>
      <c r="H114" t="s">
        <v>569</v>
      </c>
    </row>
    <row r="115" spans="1:8" ht="15.75" x14ac:dyDescent="0.3">
      <c r="A115" s="1" t="s">
        <v>119</v>
      </c>
      <c r="B115" s="1" t="s">
        <v>642</v>
      </c>
      <c r="D115" s="1" t="s">
        <v>564</v>
      </c>
      <c r="E115" s="1" t="s">
        <v>6</v>
      </c>
      <c r="F115" s="4">
        <v>44450</v>
      </c>
      <c r="G115" s="3">
        <v>9891.8248113452501</v>
      </c>
    </row>
    <row r="116" spans="1:8" ht="15.75" x14ac:dyDescent="0.3">
      <c r="A116" s="1" t="s">
        <v>120</v>
      </c>
      <c r="B116" s="1" t="s">
        <v>643</v>
      </c>
      <c r="C116">
        <v>19</v>
      </c>
      <c r="D116" s="1" t="s">
        <v>5</v>
      </c>
      <c r="E116" s="1" t="s">
        <v>189</v>
      </c>
      <c r="F116" s="2">
        <v>44139</v>
      </c>
      <c r="G116" s="3">
        <v>13500</v>
      </c>
      <c r="H116" t="s">
        <v>569</v>
      </c>
    </row>
    <row r="117" spans="1:8" ht="15.75" x14ac:dyDescent="0.3">
      <c r="A117" s="1" t="s">
        <v>121</v>
      </c>
      <c r="B117" s="1" t="s">
        <v>644</v>
      </c>
      <c r="D117" s="1" t="s">
        <v>565</v>
      </c>
      <c r="E117" s="1" t="s">
        <v>6</v>
      </c>
      <c r="F117" s="2" t="s">
        <v>496</v>
      </c>
      <c r="G117" s="3">
        <v>6851.2632038280199</v>
      </c>
    </row>
    <row r="118" spans="1:8" ht="15.75" x14ac:dyDescent="0.3">
      <c r="A118" s="1" t="s">
        <v>122</v>
      </c>
      <c r="B118" s="1" t="s">
        <v>645</v>
      </c>
      <c r="C118" t="s">
        <v>563</v>
      </c>
      <c r="D118" s="1" t="s">
        <v>565</v>
      </c>
      <c r="E118" s="1" t="s">
        <v>6</v>
      </c>
      <c r="F118" s="2">
        <v>42284</v>
      </c>
      <c r="G118" s="3">
        <v>1759.7296563785601</v>
      </c>
    </row>
    <row r="119" spans="1:8" ht="15.75" x14ac:dyDescent="0.3">
      <c r="A119" s="1" t="s">
        <v>123</v>
      </c>
      <c r="B119" s="1" t="s">
        <v>646</v>
      </c>
      <c r="D119" s="1" t="s">
        <v>57</v>
      </c>
      <c r="E119" s="1" t="s">
        <v>6</v>
      </c>
      <c r="F119" s="2">
        <v>45476</v>
      </c>
      <c r="G119" s="3">
        <v>1500</v>
      </c>
    </row>
    <row r="120" spans="1:8" ht="15.75" x14ac:dyDescent="0.3">
      <c r="A120" s="1" t="s">
        <v>124</v>
      </c>
      <c r="B120" s="1" t="s">
        <v>647</v>
      </c>
      <c r="D120" s="1" t="s">
        <v>565</v>
      </c>
      <c r="E120" s="1" t="s">
        <v>189</v>
      </c>
      <c r="F120" s="2">
        <v>45375</v>
      </c>
      <c r="G120" s="3">
        <v>9500</v>
      </c>
      <c r="H120" t="s">
        <v>568</v>
      </c>
    </row>
    <row r="121" spans="1:8" ht="15.75" x14ac:dyDescent="0.3">
      <c r="A121" s="1" t="s">
        <v>125</v>
      </c>
      <c r="B121" s="1" t="s">
        <v>648</v>
      </c>
      <c r="D121" s="1" t="s">
        <v>8</v>
      </c>
      <c r="E121" s="1" t="s">
        <v>189</v>
      </c>
      <c r="F121" s="2" t="s">
        <v>497</v>
      </c>
      <c r="G121" s="3">
        <v>6400.49730467064</v>
      </c>
    </row>
    <row r="122" spans="1:8" ht="15.75" x14ac:dyDescent="0.3">
      <c r="A122" s="1" t="s">
        <v>126</v>
      </c>
      <c r="B122" s="1" t="s">
        <v>649</v>
      </c>
      <c r="D122" s="1" t="s">
        <v>8</v>
      </c>
      <c r="E122" s="1" t="s">
        <v>6</v>
      </c>
      <c r="F122" s="2">
        <v>45554</v>
      </c>
      <c r="G122" s="3">
        <v>726</v>
      </c>
    </row>
    <row r="123" spans="1:8" ht="15.75" x14ac:dyDescent="0.3">
      <c r="A123" s="1" t="s">
        <v>127</v>
      </c>
      <c r="B123" s="1" t="s">
        <v>650</v>
      </c>
      <c r="C123" t="s">
        <v>563</v>
      </c>
      <c r="D123" s="1" t="s">
        <v>8</v>
      </c>
      <c r="E123" s="1" t="s">
        <v>6</v>
      </c>
      <c r="F123" s="2">
        <v>38437</v>
      </c>
      <c r="G123" s="3">
        <v>519.83410220161397</v>
      </c>
      <c r="H123" t="s">
        <v>569</v>
      </c>
    </row>
    <row r="124" spans="1:8" ht="15.75" x14ac:dyDescent="0.3">
      <c r="A124" s="1" t="s">
        <v>128</v>
      </c>
      <c r="B124" s="1" t="s">
        <v>651</v>
      </c>
      <c r="C124" t="s">
        <v>563</v>
      </c>
      <c r="D124" s="1" t="s">
        <v>565</v>
      </c>
      <c r="E124" s="1" t="s">
        <v>6</v>
      </c>
      <c r="F124" s="2">
        <v>40275</v>
      </c>
      <c r="G124" s="3">
        <v>1500</v>
      </c>
    </row>
    <row r="125" spans="1:8" ht="15.75" x14ac:dyDescent="0.3">
      <c r="A125" s="1" t="s">
        <v>129</v>
      </c>
      <c r="B125" s="1" t="s">
        <v>652</v>
      </c>
      <c r="C125">
        <v>70</v>
      </c>
      <c r="D125" s="1" t="s">
        <v>8</v>
      </c>
      <c r="E125" s="1" t="s">
        <v>189</v>
      </c>
      <c r="F125" s="2">
        <v>43790</v>
      </c>
      <c r="G125" s="3">
        <v>1500</v>
      </c>
    </row>
    <row r="126" spans="1:8" ht="15.75" x14ac:dyDescent="0.3">
      <c r="A126" s="1" t="s">
        <v>129</v>
      </c>
      <c r="B126" s="1" t="s">
        <v>652</v>
      </c>
      <c r="D126" s="1" t="s">
        <v>8</v>
      </c>
      <c r="E126" s="1" t="s">
        <v>6</v>
      </c>
      <c r="F126" s="2">
        <v>43790</v>
      </c>
      <c r="G126" s="3">
        <v>1500</v>
      </c>
    </row>
    <row r="127" spans="1:8" ht="15.75" x14ac:dyDescent="0.3">
      <c r="A127" s="1" t="s">
        <v>130</v>
      </c>
      <c r="B127" s="1" t="s">
        <v>653</v>
      </c>
      <c r="C127" t="s">
        <v>563</v>
      </c>
      <c r="D127" s="1" t="s">
        <v>5</v>
      </c>
      <c r="E127" s="1" t="s">
        <v>189</v>
      </c>
      <c r="F127" s="2">
        <v>41398</v>
      </c>
      <c r="G127" s="3">
        <v>1500</v>
      </c>
      <c r="H127" t="s">
        <v>571</v>
      </c>
    </row>
    <row r="128" spans="1:8" ht="15.75" x14ac:dyDescent="0.3">
      <c r="A128" s="1" t="s">
        <v>131</v>
      </c>
      <c r="B128" s="1" t="s">
        <v>654</v>
      </c>
      <c r="C128">
        <v>56</v>
      </c>
      <c r="D128" s="1" t="s">
        <v>5</v>
      </c>
      <c r="E128" s="1" t="s">
        <v>566</v>
      </c>
      <c r="F128" s="2">
        <v>45321</v>
      </c>
      <c r="G128" s="3">
        <v>9500</v>
      </c>
      <c r="H128" t="s">
        <v>571</v>
      </c>
    </row>
    <row r="129" spans="1:8" ht="15.75" x14ac:dyDescent="0.3">
      <c r="A129" s="1" t="s">
        <v>132</v>
      </c>
      <c r="B129" s="1" t="s">
        <v>655</v>
      </c>
      <c r="D129" s="1" t="s">
        <v>565</v>
      </c>
      <c r="E129" s="1" t="s">
        <v>6</v>
      </c>
      <c r="F129" s="2">
        <v>39825</v>
      </c>
      <c r="G129" s="3">
        <v>386.011424105174</v>
      </c>
    </row>
    <row r="130" spans="1:8" ht="15.75" x14ac:dyDescent="0.3">
      <c r="A130" s="1" t="s">
        <v>133</v>
      </c>
      <c r="B130" s="1" t="s">
        <v>656</v>
      </c>
      <c r="D130" s="1" t="s">
        <v>564</v>
      </c>
      <c r="E130" s="1" t="s">
        <v>566</v>
      </c>
      <c r="F130" s="2">
        <v>41916</v>
      </c>
      <c r="G130" s="3">
        <v>367.73734548621502</v>
      </c>
    </row>
    <row r="131" spans="1:8" ht="15.75" x14ac:dyDescent="0.3">
      <c r="A131" s="1" t="s">
        <v>134</v>
      </c>
      <c r="B131" s="1" t="s">
        <v>657</v>
      </c>
      <c r="C131" t="s">
        <v>563</v>
      </c>
      <c r="D131" s="1" t="s">
        <v>565</v>
      </c>
      <c r="E131" s="1" t="s">
        <v>189</v>
      </c>
      <c r="F131" s="2">
        <v>39402</v>
      </c>
      <c r="G131" s="3">
        <v>17500</v>
      </c>
      <c r="H131" t="s">
        <v>569</v>
      </c>
    </row>
    <row r="132" spans="1:8" ht="15.75" x14ac:dyDescent="0.3">
      <c r="A132" s="1" t="s">
        <v>135</v>
      </c>
      <c r="B132" s="1" t="s">
        <v>658</v>
      </c>
      <c r="D132" s="1" t="s">
        <v>5</v>
      </c>
      <c r="E132" s="1" t="s">
        <v>189</v>
      </c>
      <c r="F132" s="4">
        <v>44255</v>
      </c>
      <c r="G132" s="3">
        <v>475.98940927973598</v>
      </c>
      <c r="H132" t="s">
        <v>571</v>
      </c>
    </row>
    <row r="133" spans="1:8" ht="15.75" x14ac:dyDescent="0.3">
      <c r="A133" s="1" t="s">
        <v>136</v>
      </c>
      <c r="B133" s="1" t="s">
        <v>659</v>
      </c>
      <c r="D133" s="1" t="s">
        <v>564</v>
      </c>
      <c r="E133" s="1" t="s">
        <v>6</v>
      </c>
      <c r="F133" s="2" t="s">
        <v>498</v>
      </c>
      <c r="G133" s="3">
        <v>7500</v>
      </c>
      <c r="H133" t="s">
        <v>569</v>
      </c>
    </row>
    <row r="134" spans="1:8" ht="15.75" x14ac:dyDescent="0.3">
      <c r="A134" s="1" t="s">
        <v>137</v>
      </c>
      <c r="B134" s="1" t="s">
        <v>660</v>
      </c>
      <c r="C134">
        <v>19</v>
      </c>
      <c r="D134" s="1" t="s">
        <v>5</v>
      </c>
      <c r="E134" s="1" t="s">
        <v>6</v>
      </c>
      <c r="F134" s="2">
        <v>44312</v>
      </c>
      <c r="G134" s="3">
        <v>9500</v>
      </c>
      <c r="H134" t="s">
        <v>569</v>
      </c>
    </row>
    <row r="135" spans="1:8" ht="15.75" x14ac:dyDescent="0.3">
      <c r="A135" s="1" t="s">
        <v>138</v>
      </c>
      <c r="B135" s="1" t="s">
        <v>661</v>
      </c>
      <c r="D135" s="1" t="s">
        <v>5</v>
      </c>
      <c r="E135" s="1" t="s">
        <v>6</v>
      </c>
      <c r="F135" s="2">
        <v>45543</v>
      </c>
      <c r="G135" s="3">
        <v>9500</v>
      </c>
    </row>
    <row r="136" spans="1:8" ht="15.75" x14ac:dyDescent="0.3">
      <c r="A136" s="1" t="s">
        <v>139</v>
      </c>
      <c r="B136" s="1" t="s">
        <v>662</v>
      </c>
      <c r="C136">
        <v>52</v>
      </c>
      <c r="D136" s="1" t="s">
        <v>57</v>
      </c>
      <c r="E136" s="1" t="s">
        <v>6</v>
      </c>
      <c r="F136" s="2">
        <v>43618</v>
      </c>
      <c r="G136" s="3">
        <v>440.00135868523699</v>
      </c>
      <c r="H136" t="s">
        <v>570</v>
      </c>
    </row>
    <row r="137" spans="1:8" ht="15.75" x14ac:dyDescent="0.3">
      <c r="A137" s="1" t="s">
        <v>140</v>
      </c>
      <c r="B137" s="1" t="s">
        <v>663</v>
      </c>
      <c r="C137" t="s">
        <v>563</v>
      </c>
      <c r="D137" s="1" t="s">
        <v>565</v>
      </c>
      <c r="E137" s="1" t="s">
        <v>189</v>
      </c>
      <c r="F137" s="2">
        <v>42700</v>
      </c>
      <c r="G137" s="3">
        <v>90.522945695275496</v>
      </c>
    </row>
    <row r="138" spans="1:8" ht="15.75" x14ac:dyDescent="0.3">
      <c r="A138" s="1" t="s">
        <v>141</v>
      </c>
      <c r="B138" s="1" t="s">
        <v>664</v>
      </c>
      <c r="D138" s="1" t="s">
        <v>8</v>
      </c>
      <c r="E138" s="1" t="s">
        <v>6</v>
      </c>
      <c r="F138" s="2" t="s">
        <v>499</v>
      </c>
      <c r="G138" s="3">
        <v>450</v>
      </c>
    </row>
    <row r="139" spans="1:8" ht="15.75" x14ac:dyDescent="0.3">
      <c r="A139" s="1" t="s">
        <v>142</v>
      </c>
      <c r="B139" s="1" t="s">
        <v>665</v>
      </c>
      <c r="C139" t="s">
        <v>563</v>
      </c>
      <c r="D139" s="1" t="s">
        <v>564</v>
      </c>
      <c r="E139" s="1" t="s">
        <v>189</v>
      </c>
      <c r="F139" s="2">
        <v>45349</v>
      </c>
      <c r="G139" s="3">
        <v>481.26238537476303</v>
      </c>
      <c r="H139" t="s">
        <v>568</v>
      </c>
    </row>
    <row r="140" spans="1:8" ht="15.75" x14ac:dyDescent="0.3">
      <c r="A140" s="1" t="s">
        <v>143</v>
      </c>
      <c r="B140" s="1" t="s">
        <v>666</v>
      </c>
      <c r="D140" s="1" t="s">
        <v>8</v>
      </c>
      <c r="E140" s="1" t="s">
        <v>189</v>
      </c>
      <c r="F140" s="2">
        <v>36962</v>
      </c>
      <c r="G140" s="3">
        <v>2322.9565305414499</v>
      </c>
      <c r="H140" t="s">
        <v>570</v>
      </c>
    </row>
    <row r="141" spans="1:8" ht="15.75" x14ac:dyDescent="0.3">
      <c r="A141" s="1" t="s">
        <v>144</v>
      </c>
      <c r="B141" s="1" t="s">
        <v>667</v>
      </c>
      <c r="C141">
        <v>30</v>
      </c>
      <c r="D141" s="1" t="s">
        <v>8</v>
      </c>
      <c r="E141" s="1" t="s">
        <v>189</v>
      </c>
      <c r="F141" s="4">
        <v>44369</v>
      </c>
      <c r="G141" s="3">
        <v>1500</v>
      </c>
      <c r="H141" t="s">
        <v>568</v>
      </c>
    </row>
    <row r="142" spans="1:8" ht="15.75" x14ac:dyDescent="0.3">
      <c r="A142" s="1" t="s">
        <v>145</v>
      </c>
      <c r="B142" s="1" t="s">
        <v>668</v>
      </c>
      <c r="C142" t="s">
        <v>563</v>
      </c>
      <c r="D142" s="1" t="s">
        <v>5</v>
      </c>
      <c r="E142" s="1" t="s">
        <v>189</v>
      </c>
      <c r="F142" s="2">
        <v>37808</v>
      </c>
      <c r="G142" s="3">
        <v>7097.8406167323101</v>
      </c>
      <c r="H142" t="s">
        <v>569</v>
      </c>
    </row>
    <row r="143" spans="1:8" ht="15.75" x14ac:dyDescent="0.3">
      <c r="A143" s="1" t="s">
        <v>146</v>
      </c>
      <c r="B143" s="1" t="s">
        <v>669</v>
      </c>
      <c r="C143" t="s">
        <v>563</v>
      </c>
      <c r="D143" s="1" t="s">
        <v>564</v>
      </c>
      <c r="E143" s="1" t="s">
        <v>6</v>
      </c>
      <c r="F143" s="2">
        <v>34276</v>
      </c>
      <c r="G143" s="3">
        <v>120</v>
      </c>
      <c r="H143" t="s">
        <v>571</v>
      </c>
    </row>
    <row r="144" spans="1:8" ht="15.75" x14ac:dyDescent="0.3">
      <c r="A144" s="1" t="s">
        <v>147</v>
      </c>
      <c r="B144" s="1" t="s">
        <v>670</v>
      </c>
      <c r="C144" t="s">
        <v>563</v>
      </c>
      <c r="D144" s="1" t="s">
        <v>8</v>
      </c>
      <c r="E144" s="1" t="s">
        <v>189</v>
      </c>
      <c r="F144" s="2">
        <v>28100</v>
      </c>
      <c r="G144" s="3">
        <v>443.98998918419301</v>
      </c>
      <c r="H144" t="s">
        <v>568</v>
      </c>
    </row>
    <row r="145" spans="1:8" ht="15.75" x14ac:dyDescent="0.3">
      <c r="A145" s="1" t="s">
        <v>148</v>
      </c>
      <c r="B145" s="1" t="s">
        <v>671</v>
      </c>
      <c r="D145" s="1" t="s">
        <v>70</v>
      </c>
      <c r="E145" s="1" t="s">
        <v>566</v>
      </c>
      <c r="F145" s="2">
        <v>36570</v>
      </c>
      <c r="G145" s="3">
        <v>1780</v>
      </c>
    </row>
    <row r="146" spans="1:8" ht="15.75" x14ac:dyDescent="0.3">
      <c r="A146" s="1" t="s">
        <v>149</v>
      </c>
      <c r="B146" s="1" t="s">
        <v>672</v>
      </c>
      <c r="D146" s="1" t="s">
        <v>8</v>
      </c>
      <c r="E146" s="1" t="s">
        <v>566</v>
      </c>
      <c r="F146" s="2">
        <v>45368</v>
      </c>
      <c r="G146" s="3">
        <v>1500</v>
      </c>
      <c r="H146" t="s">
        <v>568</v>
      </c>
    </row>
    <row r="147" spans="1:8" ht="15.75" x14ac:dyDescent="0.3">
      <c r="A147" s="1" t="s">
        <v>150</v>
      </c>
      <c r="B147" s="1" t="s">
        <v>673</v>
      </c>
      <c r="D147" s="1" t="s">
        <v>564</v>
      </c>
      <c r="E147" s="1" t="s">
        <v>6</v>
      </c>
      <c r="F147" s="2">
        <v>42489</v>
      </c>
      <c r="G147" s="3">
        <v>5400</v>
      </c>
    </row>
    <row r="148" spans="1:8" ht="15.75" x14ac:dyDescent="0.3">
      <c r="A148" s="1" t="s">
        <v>151</v>
      </c>
      <c r="B148" s="1" t="s">
        <v>674</v>
      </c>
      <c r="D148" s="1" t="s">
        <v>5</v>
      </c>
      <c r="E148" s="1" t="s">
        <v>189</v>
      </c>
      <c r="F148" s="2">
        <v>36661</v>
      </c>
      <c r="G148" s="3">
        <v>34000</v>
      </c>
      <c r="H148" t="s">
        <v>568</v>
      </c>
    </row>
    <row r="149" spans="1:8" ht="15.75" x14ac:dyDescent="0.3">
      <c r="A149" s="1" t="s">
        <v>152</v>
      </c>
      <c r="B149" s="1" t="s">
        <v>675</v>
      </c>
      <c r="C149">
        <v>60</v>
      </c>
      <c r="D149" s="1" t="s">
        <v>564</v>
      </c>
      <c r="E149" s="1" t="s">
        <v>189</v>
      </c>
      <c r="F149" s="2">
        <v>42870</v>
      </c>
      <c r="G149" s="3">
        <v>807.57771146249695</v>
      </c>
      <c r="H149" t="s">
        <v>570</v>
      </c>
    </row>
    <row r="150" spans="1:8" ht="15.75" x14ac:dyDescent="0.3">
      <c r="A150" s="1" t="s">
        <v>153</v>
      </c>
      <c r="B150" s="1" t="s">
        <v>676</v>
      </c>
      <c r="D150" s="1" t="s">
        <v>565</v>
      </c>
      <c r="E150" s="1" t="s">
        <v>189</v>
      </c>
      <c r="F150" s="2" t="s">
        <v>500</v>
      </c>
      <c r="G150" s="3">
        <v>9500</v>
      </c>
    </row>
    <row r="151" spans="1:8" ht="15.75" x14ac:dyDescent="0.3">
      <c r="A151" s="1" t="s">
        <v>154</v>
      </c>
      <c r="B151" s="1" t="s">
        <v>677</v>
      </c>
      <c r="C151">
        <v>32</v>
      </c>
      <c r="D151" s="1" t="s">
        <v>70</v>
      </c>
      <c r="E151" s="1" t="s">
        <v>6</v>
      </c>
      <c r="F151" s="2">
        <v>45292</v>
      </c>
      <c r="G151" s="3">
        <v>1500</v>
      </c>
    </row>
    <row r="152" spans="1:8" ht="15.75" x14ac:dyDescent="0.3">
      <c r="A152" s="1" t="s">
        <v>155</v>
      </c>
      <c r="B152" s="1" t="s">
        <v>678</v>
      </c>
      <c r="D152" s="1" t="s">
        <v>564</v>
      </c>
      <c r="E152" s="1" t="s">
        <v>6</v>
      </c>
      <c r="F152" s="4">
        <v>44428</v>
      </c>
      <c r="G152" s="3">
        <v>1500</v>
      </c>
      <c r="H152" t="s">
        <v>571</v>
      </c>
    </row>
    <row r="153" spans="1:8" ht="15.75" x14ac:dyDescent="0.3">
      <c r="A153" s="1" t="s">
        <v>156</v>
      </c>
      <c r="B153" s="1" t="s">
        <v>679</v>
      </c>
      <c r="C153" t="s">
        <v>563</v>
      </c>
      <c r="D153" s="1" t="s">
        <v>5</v>
      </c>
      <c r="E153" s="1" t="s">
        <v>189</v>
      </c>
      <c r="F153" s="2">
        <v>45424</v>
      </c>
      <c r="G153" s="3">
        <v>9500</v>
      </c>
    </row>
    <row r="154" spans="1:8" ht="15.75" x14ac:dyDescent="0.3">
      <c r="A154" s="1" t="s">
        <v>157</v>
      </c>
      <c r="B154" s="1" t="s">
        <v>680</v>
      </c>
      <c r="D154" s="1" t="s">
        <v>8</v>
      </c>
      <c r="E154" s="1" t="s">
        <v>6</v>
      </c>
      <c r="F154" s="2" t="s">
        <v>501</v>
      </c>
      <c r="G154" s="3">
        <v>812.99942048489299</v>
      </c>
      <c r="H154" t="s">
        <v>568</v>
      </c>
    </row>
    <row r="155" spans="1:8" ht="15.75" x14ac:dyDescent="0.3">
      <c r="A155" s="1" t="s">
        <v>158</v>
      </c>
      <c r="B155" s="1" t="s">
        <v>681</v>
      </c>
      <c r="C155">
        <v>20</v>
      </c>
      <c r="D155" s="1" t="s">
        <v>565</v>
      </c>
      <c r="E155" s="1" t="s">
        <v>6</v>
      </c>
      <c r="F155" s="2">
        <v>45534</v>
      </c>
      <c r="G155" s="3">
        <v>1500</v>
      </c>
      <c r="H155" t="s">
        <v>569</v>
      </c>
    </row>
    <row r="156" spans="1:8" ht="15.75" x14ac:dyDescent="0.3">
      <c r="A156" s="1" t="s">
        <v>159</v>
      </c>
      <c r="B156" s="1" t="s">
        <v>682</v>
      </c>
      <c r="D156" s="1" t="s">
        <v>5</v>
      </c>
      <c r="E156" s="1" t="s">
        <v>6</v>
      </c>
      <c r="F156" s="2">
        <v>45368</v>
      </c>
      <c r="G156" s="3">
        <v>6273.8918029696097</v>
      </c>
    </row>
    <row r="157" spans="1:8" ht="15.75" x14ac:dyDescent="0.3">
      <c r="A157" s="1" t="s">
        <v>160</v>
      </c>
      <c r="B157" s="1" t="s">
        <v>683</v>
      </c>
      <c r="D157" s="1" t="s">
        <v>564</v>
      </c>
      <c r="E157" s="1" t="s">
        <v>6</v>
      </c>
      <c r="F157" s="2">
        <v>37844</v>
      </c>
      <c r="G157" s="3">
        <v>4356.8076140807198</v>
      </c>
      <c r="H157" t="s">
        <v>569</v>
      </c>
    </row>
    <row r="158" spans="1:8" ht="15.75" x14ac:dyDescent="0.3">
      <c r="A158" s="1" t="s">
        <v>161</v>
      </c>
      <c r="B158" s="1" t="s">
        <v>684</v>
      </c>
      <c r="C158" t="s">
        <v>563</v>
      </c>
      <c r="D158" s="1" t="s">
        <v>8</v>
      </c>
      <c r="E158" s="1" t="s">
        <v>6</v>
      </c>
      <c r="F158" s="2">
        <v>45184</v>
      </c>
      <c r="G158" s="3">
        <v>1500</v>
      </c>
    </row>
    <row r="159" spans="1:8" ht="15.75" x14ac:dyDescent="0.3">
      <c r="A159" s="1" t="s">
        <v>162</v>
      </c>
      <c r="B159" s="1" t="s">
        <v>685</v>
      </c>
      <c r="C159">
        <v>37</v>
      </c>
      <c r="D159" s="1" t="s">
        <v>564</v>
      </c>
      <c r="E159" s="1" t="s">
        <v>189</v>
      </c>
      <c r="F159" s="2">
        <v>38452</v>
      </c>
      <c r="G159" s="3">
        <v>618.46916320055902</v>
      </c>
      <c r="H159" t="s">
        <v>569</v>
      </c>
    </row>
    <row r="160" spans="1:8" ht="15.75" x14ac:dyDescent="0.3">
      <c r="A160" s="1" t="s">
        <v>162</v>
      </c>
      <c r="B160" s="1" t="s">
        <v>685</v>
      </c>
      <c r="C160">
        <v>35</v>
      </c>
      <c r="D160" s="1" t="s">
        <v>564</v>
      </c>
      <c r="E160" s="1" t="s">
        <v>189</v>
      </c>
      <c r="F160" s="2">
        <v>38452</v>
      </c>
      <c r="G160" s="3">
        <v>618.46916320055902</v>
      </c>
      <c r="H160" t="s">
        <v>570</v>
      </c>
    </row>
    <row r="161" spans="1:8" ht="15.75" x14ac:dyDescent="0.3">
      <c r="A161" s="1" t="s">
        <v>163</v>
      </c>
      <c r="B161" s="1" t="s">
        <v>686</v>
      </c>
      <c r="C161" t="s">
        <v>563</v>
      </c>
      <c r="D161" s="1" t="s">
        <v>5</v>
      </c>
      <c r="E161" s="1" t="s">
        <v>6</v>
      </c>
      <c r="F161" s="4">
        <v>43902</v>
      </c>
      <c r="G161" s="3">
        <v>9500</v>
      </c>
      <c r="H161" t="s">
        <v>570</v>
      </c>
    </row>
    <row r="162" spans="1:8" ht="15.75" x14ac:dyDescent="0.3">
      <c r="A162" s="1" t="s">
        <v>164</v>
      </c>
      <c r="B162" s="1" t="s">
        <v>687</v>
      </c>
      <c r="C162" t="s">
        <v>563</v>
      </c>
      <c r="D162" s="1" t="s">
        <v>5</v>
      </c>
      <c r="E162" s="1" t="s">
        <v>6</v>
      </c>
      <c r="F162" s="2">
        <v>45540</v>
      </c>
      <c r="G162" s="3">
        <v>939.54715055173597</v>
      </c>
      <c r="H162" t="s">
        <v>569</v>
      </c>
    </row>
    <row r="163" spans="1:8" ht="15.75" x14ac:dyDescent="0.3">
      <c r="A163" s="1" t="s">
        <v>165</v>
      </c>
      <c r="B163" s="1" t="s">
        <v>688</v>
      </c>
      <c r="C163" t="s">
        <v>563</v>
      </c>
      <c r="D163" s="1" t="s">
        <v>8</v>
      </c>
      <c r="E163" s="1" t="s">
        <v>6</v>
      </c>
      <c r="F163" s="2">
        <v>44758</v>
      </c>
      <c r="G163" s="3">
        <v>538.64632985466994</v>
      </c>
      <c r="H163" t="s">
        <v>568</v>
      </c>
    </row>
    <row r="164" spans="1:8" ht="15.75" x14ac:dyDescent="0.3">
      <c r="A164" s="1" t="s">
        <v>166</v>
      </c>
      <c r="B164" s="1" t="s">
        <v>689</v>
      </c>
      <c r="D164" s="1" t="s">
        <v>564</v>
      </c>
      <c r="E164" s="1" t="s">
        <v>6</v>
      </c>
      <c r="F164" s="2" t="s">
        <v>502</v>
      </c>
      <c r="G164" s="3">
        <v>125.799546208362</v>
      </c>
      <c r="H164" t="s">
        <v>570</v>
      </c>
    </row>
    <row r="165" spans="1:8" ht="15.75" x14ac:dyDescent="0.3">
      <c r="A165" s="1" t="s">
        <v>167</v>
      </c>
      <c r="B165" s="1" t="s">
        <v>690</v>
      </c>
      <c r="C165">
        <v>47</v>
      </c>
      <c r="D165" s="1" t="s">
        <v>565</v>
      </c>
      <c r="E165" s="1" t="s">
        <v>189</v>
      </c>
      <c r="F165" s="2">
        <v>45372</v>
      </c>
      <c r="G165" s="3">
        <v>153.381169538802</v>
      </c>
      <c r="H165" t="s">
        <v>568</v>
      </c>
    </row>
    <row r="166" spans="1:8" ht="15.75" x14ac:dyDescent="0.3">
      <c r="A166" s="1" t="s">
        <v>168</v>
      </c>
      <c r="B166" s="1" t="s">
        <v>691</v>
      </c>
      <c r="C166" t="s">
        <v>563</v>
      </c>
      <c r="D166" s="1" t="s">
        <v>564</v>
      </c>
      <c r="E166" s="1" t="s">
        <v>6</v>
      </c>
      <c r="F166" s="4">
        <v>44479</v>
      </c>
      <c r="G166" s="3">
        <v>9500</v>
      </c>
      <c r="H166" t="s">
        <v>571</v>
      </c>
    </row>
    <row r="167" spans="1:8" ht="15.75" x14ac:dyDescent="0.3">
      <c r="A167" s="1" t="s">
        <v>168</v>
      </c>
      <c r="B167" s="1" t="s">
        <v>691</v>
      </c>
      <c r="C167" t="s">
        <v>563</v>
      </c>
      <c r="D167" s="1" t="s">
        <v>564</v>
      </c>
      <c r="E167" s="1" t="s">
        <v>566</v>
      </c>
      <c r="F167" s="2">
        <v>45293</v>
      </c>
      <c r="G167" s="3">
        <v>9500</v>
      </c>
      <c r="H167" t="s">
        <v>569</v>
      </c>
    </row>
    <row r="168" spans="1:8" ht="15.75" x14ac:dyDescent="0.3">
      <c r="A168" s="1" t="s">
        <v>169</v>
      </c>
      <c r="B168" s="1" t="s">
        <v>692</v>
      </c>
      <c r="C168">
        <v>29</v>
      </c>
      <c r="D168" s="1" t="s">
        <v>564</v>
      </c>
      <c r="E168" s="1" t="s">
        <v>6</v>
      </c>
      <c r="F168" s="4">
        <v>43665</v>
      </c>
      <c r="G168" s="3">
        <v>7500</v>
      </c>
      <c r="H168" t="s">
        <v>569</v>
      </c>
    </row>
    <row r="169" spans="1:8" ht="15.75" x14ac:dyDescent="0.3">
      <c r="A169" s="1" t="s">
        <v>170</v>
      </c>
      <c r="B169" s="1" t="s">
        <v>693</v>
      </c>
      <c r="D169" s="1" t="s">
        <v>5</v>
      </c>
      <c r="E169" s="1" t="s">
        <v>6</v>
      </c>
      <c r="F169" s="4">
        <v>44428</v>
      </c>
      <c r="G169" s="3">
        <v>4766.3312088702296</v>
      </c>
      <c r="H169" t="s">
        <v>568</v>
      </c>
    </row>
    <row r="170" spans="1:8" ht="15.75" x14ac:dyDescent="0.3">
      <c r="A170" s="1" t="s">
        <v>171</v>
      </c>
      <c r="B170" s="1" t="s">
        <v>694</v>
      </c>
      <c r="D170" s="1" t="s">
        <v>5</v>
      </c>
      <c r="E170" s="1" t="s">
        <v>6</v>
      </c>
      <c r="F170" s="2" t="s">
        <v>503</v>
      </c>
      <c r="G170" s="3">
        <v>4000</v>
      </c>
    </row>
    <row r="171" spans="1:8" ht="15.75" x14ac:dyDescent="0.3">
      <c r="A171" s="1" t="s">
        <v>172</v>
      </c>
      <c r="B171" s="1" t="s">
        <v>695</v>
      </c>
      <c r="D171" s="1" t="s">
        <v>5</v>
      </c>
      <c r="E171" s="1" t="s">
        <v>566</v>
      </c>
      <c r="F171" s="2">
        <v>32608</v>
      </c>
      <c r="G171" s="3">
        <v>1500</v>
      </c>
      <c r="H171" t="s">
        <v>568</v>
      </c>
    </row>
    <row r="172" spans="1:8" ht="15.75" x14ac:dyDescent="0.3">
      <c r="A172" s="1" t="s">
        <v>173</v>
      </c>
      <c r="B172" s="1" t="s">
        <v>696</v>
      </c>
      <c r="C172">
        <v>48</v>
      </c>
      <c r="D172" s="1" t="s">
        <v>5</v>
      </c>
      <c r="E172" s="1" t="s">
        <v>189</v>
      </c>
      <c r="F172" s="2">
        <v>45504</v>
      </c>
      <c r="G172" s="3">
        <v>1000</v>
      </c>
      <c r="H172" t="s">
        <v>571</v>
      </c>
    </row>
    <row r="173" spans="1:8" ht="15.75" x14ac:dyDescent="0.3">
      <c r="A173" s="1" t="s">
        <v>174</v>
      </c>
      <c r="B173" s="1" t="s">
        <v>697</v>
      </c>
      <c r="D173" s="1" t="s">
        <v>8</v>
      </c>
      <c r="E173" s="1" t="s">
        <v>566</v>
      </c>
      <c r="F173" s="2">
        <v>39993</v>
      </c>
      <c r="G173" s="3">
        <v>371.80432355577398</v>
      </c>
      <c r="H173" t="s">
        <v>571</v>
      </c>
    </row>
    <row r="174" spans="1:8" ht="15.75" x14ac:dyDescent="0.3">
      <c r="A174" s="1" t="s">
        <v>175</v>
      </c>
      <c r="B174" s="1" t="s">
        <v>698</v>
      </c>
      <c r="D174" s="1" t="s">
        <v>5</v>
      </c>
      <c r="E174" s="1" t="s">
        <v>189</v>
      </c>
      <c r="F174" s="2">
        <v>38108</v>
      </c>
      <c r="G174" s="3">
        <v>753.08604790074503</v>
      </c>
      <c r="H174" t="s">
        <v>570</v>
      </c>
    </row>
    <row r="175" spans="1:8" ht="15.75" x14ac:dyDescent="0.3">
      <c r="A175" s="1" t="s">
        <v>176</v>
      </c>
      <c r="B175" s="1" t="s">
        <v>699</v>
      </c>
      <c r="C175">
        <v>58</v>
      </c>
      <c r="D175" s="1" t="s">
        <v>564</v>
      </c>
      <c r="E175" s="1" t="s">
        <v>189</v>
      </c>
      <c r="F175" s="2">
        <v>41552</v>
      </c>
      <c r="G175" s="3">
        <v>1500</v>
      </c>
    </row>
    <row r="176" spans="1:8" ht="15.75" x14ac:dyDescent="0.3">
      <c r="A176" s="1" t="s">
        <v>177</v>
      </c>
      <c r="B176" s="1" t="s">
        <v>700</v>
      </c>
      <c r="C176">
        <v>55</v>
      </c>
      <c r="D176" s="1" t="s">
        <v>564</v>
      </c>
      <c r="E176" s="1" t="s">
        <v>566</v>
      </c>
      <c r="F176" s="2">
        <v>38510</v>
      </c>
      <c r="G176" s="3">
        <v>9500</v>
      </c>
    </row>
    <row r="177" spans="1:8" ht="15.75" x14ac:dyDescent="0.3">
      <c r="A177" s="1" t="s">
        <v>178</v>
      </c>
      <c r="B177" s="1" t="s">
        <v>701</v>
      </c>
      <c r="C177" t="s">
        <v>563</v>
      </c>
      <c r="D177" s="1" t="s">
        <v>564</v>
      </c>
      <c r="E177" s="1" t="s">
        <v>6</v>
      </c>
      <c r="F177" s="2">
        <v>38065</v>
      </c>
      <c r="G177" s="3">
        <v>5300</v>
      </c>
      <c r="H177" t="s">
        <v>569</v>
      </c>
    </row>
    <row r="178" spans="1:8" ht="15.75" x14ac:dyDescent="0.3">
      <c r="A178" s="1" t="s">
        <v>179</v>
      </c>
      <c r="B178" s="1" t="s">
        <v>702</v>
      </c>
      <c r="C178">
        <v>55</v>
      </c>
      <c r="D178" s="1" t="s">
        <v>8</v>
      </c>
      <c r="E178" s="1" t="s">
        <v>6</v>
      </c>
      <c r="F178" s="2">
        <v>44289</v>
      </c>
      <c r="G178" s="3">
        <v>8500</v>
      </c>
      <c r="H178" t="s">
        <v>568</v>
      </c>
    </row>
    <row r="179" spans="1:8" ht="15.75" x14ac:dyDescent="0.3">
      <c r="A179" s="1" t="s">
        <v>180</v>
      </c>
      <c r="B179" s="1" t="s">
        <v>703</v>
      </c>
      <c r="D179" s="1" t="s">
        <v>564</v>
      </c>
      <c r="E179" s="1" t="s">
        <v>6</v>
      </c>
      <c r="F179" s="2">
        <v>43382</v>
      </c>
      <c r="G179" s="3">
        <v>1500</v>
      </c>
      <c r="H179" t="s">
        <v>570</v>
      </c>
    </row>
    <row r="180" spans="1:8" ht="15.75" x14ac:dyDescent="0.3">
      <c r="A180" s="1" t="s">
        <v>181</v>
      </c>
      <c r="B180" s="1" t="s">
        <v>704</v>
      </c>
      <c r="D180" s="1" t="s">
        <v>5</v>
      </c>
      <c r="E180" s="1" t="s">
        <v>189</v>
      </c>
      <c r="F180" s="2">
        <v>41981</v>
      </c>
      <c r="G180" s="3">
        <v>9500</v>
      </c>
    </row>
    <row r="181" spans="1:8" ht="15.75" x14ac:dyDescent="0.3">
      <c r="A181" s="1" t="s">
        <v>182</v>
      </c>
      <c r="B181" s="1" t="s">
        <v>705</v>
      </c>
      <c r="D181" s="1" t="s">
        <v>565</v>
      </c>
      <c r="E181" s="1" t="s">
        <v>6</v>
      </c>
      <c r="F181" s="2" t="s">
        <v>504</v>
      </c>
      <c r="G181" s="3">
        <v>787.681392120895</v>
      </c>
      <c r="H181" t="s">
        <v>568</v>
      </c>
    </row>
    <row r="182" spans="1:8" ht="15.75" x14ac:dyDescent="0.3">
      <c r="A182" s="1" t="s">
        <v>183</v>
      </c>
      <c r="B182" s="1" t="s">
        <v>706</v>
      </c>
      <c r="D182" s="1" t="s">
        <v>8</v>
      </c>
      <c r="E182" s="1" t="s">
        <v>6</v>
      </c>
      <c r="F182" s="4">
        <v>44369</v>
      </c>
      <c r="G182" s="3">
        <v>540</v>
      </c>
    </row>
    <row r="183" spans="1:8" ht="15.75" x14ac:dyDescent="0.3">
      <c r="A183" s="1" t="s">
        <v>184</v>
      </c>
      <c r="B183" s="1" t="s">
        <v>707</v>
      </c>
      <c r="D183" s="1" t="s">
        <v>564</v>
      </c>
      <c r="E183" s="1" t="s">
        <v>189</v>
      </c>
      <c r="F183" s="2" t="s">
        <v>505</v>
      </c>
      <c r="G183" s="3">
        <v>9500</v>
      </c>
    </row>
    <row r="184" spans="1:8" ht="15.75" x14ac:dyDescent="0.3">
      <c r="A184" s="1" t="s">
        <v>185</v>
      </c>
      <c r="B184" s="1" t="s">
        <v>708</v>
      </c>
      <c r="D184" s="1" t="s">
        <v>8</v>
      </c>
      <c r="E184" s="1" t="s">
        <v>566</v>
      </c>
      <c r="F184" s="2">
        <v>39883</v>
      </c>
      <c r="G184" s="3">
        <v>2700</v>
      </c>
      <c r="H184" t="s">
        <v>571</v>
      </c>
    </row>
    <row r="185" spans="1:8" ht="15.75" x14ac:dyDescent="0.3">
      <c r="A185" s="1" t="s">
        <v>186</v>
      </c>
      <c r="B185" s="1" t="s">
        <v>709</v>
      </c>
      <c r="D185" s="1" t="s">
        <v>57</v>
      </c>
      <c r="E185" s="1" t="s">
        <v>6</v>
      </c>
      <c r="F185" s="4">
        <v>44316</v>
      </c>
      <c r="G185" s="3">
        <v>554.55985157139605</v>
      </c>
      <c r="H185" t="s">
        <v>571</v>
      </c>
    </row>
    <row r="186" spans="1:8" ht="15.75" x14ac:dyDescent="0.3">
      <c r="A186" s="1" t="s">
        <v>187</v>
      </c>
      <c r="B186" s="1" t="s">
        <v>710</v>
      </c>
      <c r="C186">
        <v>29</v>
      </c>
      <c r="D186" s="1" t="s">
        <v>8</v>
      </c>
      <c r="E186" s="1" t="s">
        <v>6</v>
      </c>
      <c r="F186" s="2">
        <v>45305</v>
      </c>
      <c r="G186" s="3">
        <v>9500</v>
      </c>
    </row>
    <row r="187" spans="1:8" ht="15.75" x14ac:dyDescent="0.3">
      <c r="A187" s="1" t="s">
        <v>188</v>
      </c>
      <c r="B187" s="1" t="s">
        <v>711</v>
      </c>
      <c r="D187" s="1" t="s">
        <v>565</v>
      </c>
      <c r="E187" s="1" t="s">
        <v>189</v>
      </c>
      <c r="F187" s="2">
        <v>39814</v>
      </c>
      <c r="G187" s="3">
        <v>1500</v>
      </c>
      <c r="H187" t="s">
        <v>571</v>
      </c>
    </row>
    <row r="188" spans="1:8" ht="15.75" x14ac:dyDescent="0.3">
      <c r="A188" s="1" t="s">
        <v>190</v>
      </c>
      <c r="B188" s="1" t="s">
        <v>712</v>
      </c>
      <c r="C188">
        <v>43</v>
      </c>
      <c r="D188" s="1" t="s">
        <v>5</v>
      </c>
      <c r="E188" s="1" t="s">
        <v>189</v>
      </c>
      <c r="F188" s="2">
        <v>39378</v>
      </c>
      <c r="G188" s="3">
        <v>9500</v>
      </c>
    </row>
    <row r="189" spans="1:8" ht="15.75" x14ac:dyDescent="0.3">
      <c r="A189" s="1" t="s">
        <v>191</v>
      </c>
      <c r="B189" s="1" t="s">
        <v>713</v>
      </c>
      <c r="C189" t="s">
        <v>563</v>
      </c>
      <c r="D189" s="1" t="s">
        <v>564</v>
      </c>
      <c r="E189" s="1" t="s">
        <v>6</v>
      </c>
      <c r="F189" s="2">
        <v>30042</v>
      </c>
      <c r="G189" s="3">
        <v>5148.6223896095498</v>
      </c>
      <c r="H189" t="s">
        <v>571</v>
      </c>
    </row>
    <row r="190" spans="1:8" ht="15.75" x14ac:dyDescent="0.3">
      <c r="A190" s="1" t="s">
        <v>192</v>
      </c>
      <c r="B190" s="1" t="s">
        <v>714</v>
      </c>
      <c r="C190" t="s">
        <v>563</v>
      </c>
      <c r="D190" s="1" t="s">
        <v>57</v>
      </c>
      <c r="E190" s="1" t="s">
        <v>189</v>
      </c>
      <c r="F190" s="2">
        <v>45345</v>
      </c>
      <c r="G190" s="3">
        <v>344.20781899791899</v>
      </c>
      <c r="H190" t="s">
        <v>570</v>
      </c>
    </row>
    <row r="191" spans="1:8" ht="15.75" x14ac:dyDescent="0.3">
      <c r="A191" s="1" t="s">
        <v>193</v>
      </c>
      <c r="B191" s="1" t="s">
        <v>715</v>
      </c>
      <c r="C191" t="s">
        <v>563</v>
      </c>
      <c r="D191" s="1" t="s">
        <v>565</v>
      </c>
      <c r="E191" s="1" t="s">
        <v>6</v>
      </c>
      <c r="F191" s="2">
        <v>45424</v>
      </c>
      <c r="G191" s="3">
        <v>9500</v>
      </c>
      <c r="H191" t="s">
        <v>568</v>
      </c>
    </row>
    <row r="192" spans="1:8" ht="15.75" x14ac:dyDescent="0.3">
      <c r="A192" s="1" t="s">
        <v>194</v>
      </c>
      <c r="B192" s="1" t="s">
        <v>716</v>
      </c>
      <c r="D192" s="1" t="s">
        <v>5</v>
      </c>
      <c r="E192" s="1" t="s">
        <v>189</v>
      </c>
      <c r="F192" s="2">
        <v>42520</v>
      </c>
      <c r="G192" s="3">
        <v>2711.3178299134702</v>
      </c>
    </row>
    <row r="193" spans="1:8" ht="15.75" x14ac:dyDescent="0.3">
      <c r="A193" s="1" t="s">
        <v>195</v>
      </c>
      <c r="B193" s="1" t="s">
        <v>717</v>
      </c>
      <c r="D193" s="1" t="s">
        <v>5</v>
      </c>
      <c r="E193" s="1" t="s">
        <v>189</v>
      </c>
      <c r="F193" s="2">
        <v>42513</v>
      </c>
      <c r="G193" s="3">
        <v>8230</v>
      </c>
      <c r="H193" t="s">
        <v>569</v>
      </c>
    </row>
    <row r="194" spans="1:8" ht="15.75" x14ac:dyDescent="0.3">
      <c r="A194" s="1" t="s">
        <v>196</v>
      </c>
      <c r="B194" s="1" t="s">
        <v>718</v>
      </c>
      <c r="C194" t="s">
        <v>563</v>
      </c>
      <c r="D194" s="1" t="s">
        <v>564</v>
      </c>
      <c r="E194" s="1" t="s">
        <v>6</v>
      </c>
      <c r="F194" s="2">
        <v>45310</v>
      </c>
      <c r="G194" s="3">
        <v>775.44589490567898</v>
      </c>
      <c r="H194" t="s">
        <v>569</v>
      </c>
    </row>
    <row r="195" spans="1:8" ht="15.75" x14ac:dyDescent="0.3">
      <c r="A195" s="1" t="s">
        <v>197</v>
      </c>
      <c r="B195" s="1" t="s">
        <v>719</v>
      </c>
      <c r="C195" t="s">
        <v>563</v>
      </c>
      <c r="D195" s="1" t="s">
        <v>5</v>
      </c>
      <c r="E195" s="1" t="s">
        <v>189</v>
      </c>
      <c r="F195" s="2">
        <v>41303</v>
      </c>
      <c r="G195" s="3">
        <v>9741.8851595885608</v>
      </c>
      <c r="H195" t="s">
        <v>570</v>
      </c>
    </row>
    <row r="196" spans="1:8" ht="15.75" x14ac:dyDescent="0.3">
      <c r="A196" s="1" t="s">
        <v>198</v>
      </c>
      <c r="B196" s="1" t="s">
        <v>720</v>
      </c>
      <c r="C196">
        <v>48</v>
      </c>
      <c r="D196" s="1" t="s">
        <v>564</v>
      </c>
      <c r="E196" s="1" t="s">
        <v>6</v>
      </c>
      <c r="F196" s="2">
        <v>38665</v>
      </c>
      <c r="G196" s="3">
        <v>1500</v>
      </c>
      <c r="H196" t="s">
        <v>570</v>
      </c>
    </row>
    <row r="197" spans="1:8" ht="15.75" x14ac:dyDescent="0.3">
      <c r="A197" s="1" t="s">
        <v>199</v>
      </c>
      <c r="B197" s="1" t="s">
        <v>721</v>
      </c>
      <c r="C197">
        <v>54</v>
      </c>
      <c r="D197" s="1" t="s">
        <v>5</v>
      </c>
      <c r="E197" s="1" t="s">
        <v>6</v>
      </c>
      <c r="F197" s="2" t="s">
        <v>506</v>
      </c>
      <c r="G197" s="3">
        <v>480.23697380661099</v>
      </c>
      <c r="H197" t="s">
        <v>569</v>
      </c>
    </row>
    <row r="198" spans="1:8" ht="15.75" x14ac:dyDescent="0.3">
      <c r="A198" s="1" t="s">
        <v>200</v>
      </c>
      <c r="B198" s="1" t="s">
        <v>722</v>
      </c>
      <c r="C198" t="s">
        <v>563</v>
      </c>
      <c r="D198" s="1" t="s">
        <v>564</v>
      </c>
      <c r="E198" s="1" t="s">
        <v>6</v>
      </c>
      <c r="F198" s="4">
        <v>43448</v>
      </c>
      <c r="G198" s="3">
        <v>2637.4090115506601</v>
      </c>
    </row>
    <row r="199" spans="1:8" ht="15.75" x14ac:dyDescent="0.3">
      <c r="A199" s="1" t="s">
        <v>201</v>
      </c>
      <c r="B199" s="1" t="s">
        <v>723</v>
      </c>
      <c r="C199" t="s">
        <v>563</v>
      </c>
      <c r="D199" s="1" t="s">
        <v>8</v>
      </c>
      <c r="E199" s="1" t="s">
        <v>566</v>
      </c>
      <c r="F199" s="2">
        <v>38175</v>
      </c>
      <c r="G199" s="3">
        <v>9063.5736026266095</v>
      </c>
      <c r="H199" t="s">
        <v>571</v>
      </c>
    </row>
    <row r="200" spans="1:8" ht="15.75" x14ac:dyDescent="0.3">
      <c r="A200" s="1" t="s">
        <v>202</v>
      </c>
      <c r="B200" s="1" t="s">
        <v>724</v>
      </c>
      <c r="C200" t="s">
        <v>563</v>
      </c>
      <c r="D200" s="1" t="s">
        <v>565</v>
      </c>
      <c r="E200" s="1" t="s">
        <v>6</v>
      </c>
      <c r="F200" s="2">
        <v>44050</v>
      </c>
      <c r="G200" s="3">
        <v>1025.80439546911</v>
      </c>
      <c r="H200" t="s">
        <v>568</v>
      </c>
    </row>
    <row r="201" spans="1:8" ht="15.75" x14ac:dyDescent="0.3">
      <c r="A201" s="1" t="s">
        <v>203</v>
      </c>
      <c r="B201" s="1" t="s">
        <v>725</v>
      </c>
      <c r="C201" t="s">
        <v>563</v>
      </c>
      <c r="D201" s="1" t="s">
        <v>565</v>
      </c>
      <c r="E201" s="1" t="s">
        <v>189</v>
      </c>
      <c r="F201" s="2">
        <v>45399</v>
      </c>
      <c r="G201" s="3">
        <v>1500</v>
      </c>
      <c r="H201" t="s">
        <v>568</v>
      </c>
    </row>
    <row r="202" spans="1:8" ht="15.75" x14ac:dyDescent="0.3">
      <c r="A202" s="1" t="s">
        <v>204</v>
      </c>
      <c r="B202" s="1" t="s">
        <v>726</v>
      </c>
      <c r="D202" s="1" t="s">
        <v>565</v>
      </c>
      <c r="E202" s="1" t="s">
        <v>189</v>
      </c>
      <c r="F202" s="4">
        <v>44819</v>
      </c>
      <c r="G202" s="3">
        <v>7500</v>
      </c>
    </row>
    <row r="203" spans="1:8" ht="15.75" x14ac:dyDescent="0.3">
      <c r="A203" s="1" t="s">
        <v>205</v>
      </c>
      <c r="B203" s="1" t="s">
        <v>727</v>
      </c>
      <c r="D203" s="1" t="s">
        <v>564</v>
      </c>
      <c r="E203" s="1" t="s">
        <v>6</v>
      </c>
      <c r="F203" s="2" t="s">
        <v>507</v>
      </c>
      <c r="G203" s="3">
        <v>1500</v>
      </c>
    </row>
    <row r="204" spans="1:8" ht="15.75" x14ac:dyDescent="0.3">
      <c r="A204" s="1" t="s">
        <v>206</v>
      </c>
      <c r="B204" s="1" t="s">
        <v>728</v>
      </c>
      <c r="C204">
        <v>33</v>
      </c>
      <c r="D204" s="1" t="s">
        <v>5</v>
      </c>
      <c r="E204" s="1" t="s">
        <v>189</v>
      </c>
      <c r="F204" s="4">
        <v>43599</v>
      </c>
      <c r="G204" s="3">
        <v>9500</v>
      </c>
      <c r="H204" t="s">
        <v>571</v>
      </c>
    </row>
    <row r="205" spans="1:8" ht="15.75" x14ac:dyDescent="0.3">
      <c r="A205" s="1" t="s">
        <v>207</v>
      </c>
      <c r="B205" s="1" t="s">
        <v>729</v>
      </c>
      <c r="C205" t="s">
        <v>563</v>
      </c>
      <c r="D205" s="1" t="s">
        <v>5</v>
      </c>
      <c r="E205" s="1" t="s">
        <v>189</v>
      </c>
      <c r="F205" s="4">
        <v>44255</v>
      </c>
      <c r="G205" s="3">
        <v>8700</v>
      </c>
    </row>
    <row r="206" spans="1:8" ht="15.75" x14ac:dyDescent="0.3">
      <c r="A206" s="1" t="s">
        <v>208</v>
      </c>
      <c r="B206" s="1" t="s">
        <v>730</v>
      </c>
      <c r="D206" s="1" t="s">
        <v>565</v>
      </c>
      <c r="E206" s="1" t="s">
        <v>566</v>
      </c>
      <c r="F206" s="2">
        <v>26760</v>
      </c>
      <c r="G206" s="3">
        <v>74.678311268991195</v>
      </c>
      <c r="H206" t="s">
        <v>570</v>
      </c>
    </row>
    <row r="207" spans="1:8" ht="15.75" x14ac:dyDescent="0.3">
      <c r="A207" s="1" t="s">
        <v>209</v>
      </c>
      <c r="B207" s="1" t="s">
        <v>731</v>
      </c>
      <c r="D207" s="1" t="s">
        <v>564</v>
      </c>
      <c r="E207" s="1" t="s">
        <v>6</v>
      </c>
      <c r="F207" s="2">
        <v>45519</v>
      </c>
      <c r="G207" s="3">
        <v>2855.0579108358902</v>
      </c>
      <c r="H207" t="s">
        <v>568</v>
      </c>
    </row>
    <row r="208" spans="1:8" ht="15.75" x14ac:dyDescent="0.3">
      <c r="A208" s="1" t="s">
        <v>210</v>
      </c>
      <c r="B208" s="1" t="s">
        <v>732</v>
      </c>
      <c r="D208" s="1" t="s">
        <v>5</v>
      </c>
      <c r="E208" s="1" t="s">
        <v>189</v>
      </c>
      <c r="F208" s="2">
        <v>38726</v>
      </c>
      <c r="G208" s="3">
        <v>1500</v>
      </c>
      <c r="H208" t="s">
        <v>571</v>
      </c>
    </row>
    <row r="209" spans="1:8" ht="15.75" x14ac:dyDescent="0.3">
      <c r="A209" s="1" t="s">
        <v>211</v>
      </c>
      <c r="B209" s="1" t="s">
        <v>733</v>
      </c>
      <c r="D209" s="1" t="s">
        <v>5</v>
      </c>
      <c r="E209" s="1" t="s">
        <v>189</v>
      </c>
      <c r="F209" s="2">
        <v>39338</v>
      </c>
      <c r="G209" s="3">
        <v>4410.8742035303403</v>
      </c>
      <c r="H209" t="s">
        <v>569</v>
      </c>
    </row>
    <row r="210" spans="1:8" ht="15.75" x14ac:dyDescent="0.3">
      <c r="A210" s="1" t="s">
        <v>212</v>
      </c>
      <c r="B210" s="1" t="s">
        <v>734</v>
      </c>
      <c r="C210" t="s">
        <v>563</v>
      </c>
      <c r="D210" s="1" t="s">
        <v>565</v>
      </c>
      <c r="E210" s="1" t="s">
        <v>6</v>
      </c>
      <c r="F210" s="2">
        <v>45327</v>
      </c>
      <c r="G210" s="3">
        <v>9500</v>
      </c>
      <c r="H210" t="s">
        <v>569</v>
      </c>
    </row>
    <row r="211" spans="1:8" ht="15.75" x14ac:dyDescent="0.3">
      <c r="A211" s="1" t="s">
        <v>212</v>
      </c>
      <c r="B211" s="1" t="s">
        <v>734</v>
      </c>
      <c r="C211" t="s">
        <v>563</v>
      </c>
      <c r="D211" s="1" t="s">
        <v>565</v>
      </c>
      <c r="E211" s="1" t="s">
        <v>189</v>
      </c>
      <c r="F211" s="2">
        <v>45327</v>
      </c>
      <c r="G211" s="3">
        <v>9500</v>
      </c>
      <c r="H211" t="s">
        <v>570</v>
      </c>
    </row>
    <row r="212" spans="1:8" ht="15.75" x14ac:dyDescent="0.3">
      <c r="A212" s="1" t="s">
        <v>212</v>
      </c>
      <c r="B212" s="1" t="s">
        <v>734</v>
      </c>
      <c r="D212" s="1" t="s">
        <v>565</v>
      </c>
      <c r="E212" s="1" t="s">
        <v>189</v>
      </c>
      <c r="F212" s="2">
        <v>45327</v>
      </c>
      <c r="G212" s="3"/>
    </row>
    <row r="213" spans="1:8" ht="15.75" x14ac:dyDescent="0.3">
      <c r="A213" s="1" t="s">
        <v>213</v>
      </c>
      <c r="B213" s="1" t="s">
        <v>735</v>
      </c>
      <c r="C213" t="s">
        <v>563</v>
      </c>
      <c r="D213" s="1" t="s">
        <v>565</v>
      </c>
      <c r="E213" s="1" t="s">
        <v>6</v>
      </c>
      <c r="F213" s="2">
        <v>45306</v>
      </c>
      <c r="G213" s="3">
        <v>44000</v>
      </c>
    </row>
    <row r="214" spans="1:8" ht="15.75" x14ac:dyDescent="0.3">
      <c r="A214" s="1" t="s">
        <v>214</v>
      </c>
      <c r="B214" s="1" t="s">
        <v>736</v>
      </c>
      <c r="D214" s="1" t="s">
        <v>8</v>
      </c>
      <c r="E214" s="1" t="s">
        <v>189</v>
      </c>
      <c r="F214" s="2">
        <v>39104</v>
      </c>
      <c r="G214" s="3">
        <v>9500</v>
      </c>
      <c r="H214" t="s">
        <v>568</v>
      </c>
    </row>
    <row r="215" spans="1:8" ht="15.75" x14ac:dyDescent="0.3">
      <c r="A215" s="1" t="s">
        <v>215</v>
      </c>
      <c r="B215" s="1" t="s">
        <v>737</v>
      </c>
      <c r="D215" s="1" t="s">
        <v>565</v>
      </c>
      <c r="E215" s="1" t="s">
        <v>189</v>
      </c>
      <c r="F215" s="4">
        <v>43554</v>
      </c>
      <c r="G215" s="3">
        <v>9500</v>
      </c>
    </row>
    <row r="216" spans="1:8" ht="15.75" x14ac:dyDescent="0.3">
      <c r="A216" s="1" t="s">
        <v>216</v>
      </c>
      <c r="B216" s="1" t="s">
        <v>738</v>
      </c>
      <c r="C216">
        <v>37</v>
      </c>
      <c r="D216" s="1" t="s">
        <v>565</v>
      </c>
      <c r="E216" s="1" t="s">
        <v>6</v>
      </c>
      <c r="F216" s="2">
        <v>45502</v>
      </c>
      <c r="G216" s="3">
        <v>750</v>
      </c>
      <c r="H216" t="s">
        <v>571</v>
      </c>
    </row>
    <row r="217" spans="1:8" ht="15.75" x14ac:dyDescent="0.3">
      <c r="A217" s="1" t="s">
        <v>217</v>
      </c>
      <c r="B217" s="1" t="s">
        <v>739</v>
      </c>
      <c r="C217">
        <v>64</v>
      </c>
      <c r="D217" s="1" t="s">
        <v>5</v>
      </c>
      <c r="E217" s="1" t="s">
        <v>6</v>
      </c>
      <c r="F217" s="4">
        <v>44819</v>
      </c>
      <c r="G217" s="3">
        <v>1568.60559764608</v>
      </c>
      <c r="H217" t="s">
        <v>571</v>
      </c>
    </row>
    <row r="218" spans="1:8" ht="15.75" x14ac:dyDescent="0.3">
      <c r="A218" s="1" t="s">
        <v>218</v>
      </c>
      <c r="B218" s="1" t="s">
        <v>740</v>
      </c>
      <c r="C218" t="s">
        <v>563</v>
      </c>
      <c r="D218" s="1" t="s">
        <v>5</v>
      </c>
      <c r="E218" s="1" t="s">
        <v>6</v>
      </c>
      <c r="F218" s="2">
        <v>45489</v>
      </c>
      <c r="G218" s="3">
        <v>6075.4086339712203</v>
      </c>
    </row>
    <row r="219" spans="1:8" ht="15.75" x14ac:dyDescent="0.3">
      <c r="A219" s="1" t="s">
        <v>219</v>
      </c>
      <c r="B219" s="1" t="s">
        <v>741</v>
      </c>
      <c r="C219">
        <v>24</v>
      </c>
      <c r="D219" s="1" t="s">
        <v>57</v>
      </c>
      <c r="E219" s="1" t="s">
        <v>6</v>
      </c>
      <c r="F219" s="2">
        <v>43649</v>
      </c>
      <c r="G219" s="3">
        <v>6708.7920139287598</v>
      </c>
    </row>
    <row r="220" spans="1:8" ht="15.75" x14ac:dyDescent="0.3">
      <c r="A220" s="1" t="s">
        <v>220</v>
      </c>
      <c r="B220" s="1" t="s">
        <v>742</v>
      </c>
      <c r="C220">
        <v>34</v>
      </c>
      <c r="D220" s="1" t="s">
        <v>564</v>
      </c>
      <c r="E220" s="1" t="s">
        <v>189</v>
      </c>
      <c r="F220" s="2">
        <v>45374</v>
      </c>
      <c r="G220" s="3">
        <v>1500</v>
      </c>
      <c r="H220" t="s">
        <v>569</v>
      </c>
    </row>
    <row r="221" spans="1:8" ht="15.75" x14ac:dyDescent="0.3">
      <c r="A221" s="1" t="s">
        <v>221</v>
      </c>
      <c r="B221" s="1" t="s">
        <v>743</v>
      </c>
      <c r="C221" t="s">
        <v>563</v>
      </c>
      <c r="D221" s="1" t="s">
        <v>565</v>
      </c>
      <c r="E221" s="1" t="s">
        <v>6</v>
      </c>
      <c r="F221" s="2">
        <v>26666</v>
      </c>
      <c r="G221" s="3">
        <v>15000</v>
      </c>
      <c r="H221" t="s">
        <v>571</v>
      </c>
    </row>
    <row r="222" spans="1:8" ht="15.75" x14ac:dyDescent="0.3">
      <c r="A222" s="1" t="s">
        <v>222</v>
      </c>
      <c r="B222" s="1" t="s">
        <v>744</v>
      </c>
      <c r="C222">
        <v>43</v>
      </c>
      <c r="D222" s="1" t="s">
        <v>8</v>
      </c>
      <c r="E222" s="1" t="s">
        <v>189</v>
      </c>
      <c r="F222" s="2">
        <v>40803</v>
      </c>
      <c r="G222" s="3">
        <v>6318.79431730546</v>
      </c>
    </row>
    <row r="223" spans="1:8" ht="15.75" x14ac:dyDescent="0.3">
      <c r="A223" s="1" t="s">
        <v>223</v>
      </c>
      <c r="B223" s="1" t="s">
        <v>745</v>
      </c>
      <c r="C223" t="s">
        <v>563</v>
      </c>
      <c r="D223" s="1" t="s">
        <v>5</v>
      </c>
      <c r="E223" s="1" t="s">
        <v>6</v>
      </c>
      <c r="F223" s="2">
        <v>45501</v>
      </c>
      <c r="G223" s="3">
        <v>7600</v>
      </c>
      <c r="H223" t="s">
        <v>570</v>
      </c>
    </row>
    <row r="224" spans="1:8" ht="15.75" x14ac:dyDescent="0.3">
      <c r="A224" s="1" t="s">
        <v>224</v>
      </c>
      <c r="B224" s="1" t="s">
        <v>746</v>
      </c>
      <c r="C224">
        <v>66</v>
      </c>
      <c r="D224" s="1" t="s">
        <v>5</v>
      </c>
      <c r="E224" s="1" t="s">
        <v>566</v>
      </c>
      <c r="F224" s="2">
        <v>38232</v>
      </c>
      <c r="G224" s="3">
        <v>7500</v>
      </c>
    </row>
    <row r="225" spans="1:8" ht="15.75" x14ac:dyDescent="0.3">
      <c r="A225" s="1" t="s">
        <v>225</v>
      </c>
      <c r="B225" s="1" t="s">
        <v>747</v>
      </c>
      <c r="C225">
        <v>22</v>
      </c>
      <c r="D225" s="1" t="s">
        <v>5</v>
      </c>
      <c r="E225" s="1" t="s">
        <v>6</v>
      </c>
      <c r="F225" s="2">
        <v>41404</v>
      </c>
      <c r="G225" s="3">
        <v>9500</v>
      </c>
    </row>
    <row r="226" spans="1:8" ht="15.75" x14ac:dyDescent="0.3">
      <c r="A226" s="1" t="s">
        <v>226</v>
      </c>
      <c r="B226" s="1" t="s">
        <v>748</v>
      </c>
      <c r="C226">
        <v>64</v>
      </c>
      <c r="D226" s="1" t="s">
        <v>5</v>
      </c>
      <c r="E226" s="1" t="s">
        <v>566</v>
      </c>
      <c r="F226" s="2" t="s">
        <v>508</v>
      </c>
      <c r="G226" s="3">
        <v>392.04033943938202</v>
      </c>
      <c r="H226" t="s">
        <v>569</v>
      </c>
    </row>
    <row r="227" spans="1:8" ht="15.75" x14ac:dyDescent="0.3">
      <c r="A227" s="1" t="s">
        <v>227</v>
      </c>
      <c r="B227" s="1" t="s">
        <v>749</v>
      </c>
      <c r="C227" t="s">
        <v>563</v>
      </c>
      <c r="D227" s="1" t="s">
        <v>565</v>
      </c>
      <c r="E227" s="1" t="s">
        <v>6</v>
      </c>
      <c r="F227" s="2" t="s">
        <v>509</v>
      </c>
      <c r="G227" s="3">
        <v>700</v>
      </c>
      <c r="H227" t="s">
        <v>569</v>
      </c>
    </row>
    <row r="228" spans="1:8" ht="15.75" x14ac:dyDescent="0.3">
      <c r="A228" s="1" t="s">
        <v>228</v>
      </c>
      <c r="B228" s="1" t="s">
        <v>750</v>
      </c>
      <c r="C228">
        <v>55</v>
      </c>
      <c r="D228" s="1" t="s">
        <v>5</v>
      </c>
      <c r="E228" s="1" t="s">
        <v>566</v>
      </c>
      <c r="F228" s="2">
        <v>37628</v>
      </c>
      <c r="G228" s="3">
        <v>525.484036012773</v>
      </c>
      <c r="H228" t="s">
        <v>569</v>
      </c>
    </row>
    <row r="229" spans="1:8" ht="15.75" x14ac:dyDescent="0.3">
      <c r="A229" s="1" t="s">
        <v>229</v>
      </c>
      <c r="B229" s="1" t="s">
        <v>751</v>
      </c>
      <c r="D229" s="1" t="s">
        <v>70</v>
      </c>
      <c r="E229" s="1" t="s">
        <v>6</v>
      </c>
      <c r="F229" s="2" t="s">
        <v>510</v>
      </c>
      <c r="G229" s="3">
        <v>8469.1889982048706</v>
      </c>
      <c r="H229" t="s">
        <v>570</v>
      </c>
    </row>
    <row r="230" spans="1:8" ht="15.75" x14ac:dyDescent="0.3">
      <c r="A230" s="1" t="s">
        <v>230</v>
      </c>
      <c r="B230" s="1" t="s">
        <v>752</v>
      </c>
      <c r="C230">
        <v>20</v>
      </c>
      <c r="D230" s="1" t="s">
        <v>565</v>
      </c>
      <c r="E230" s="1" t="s">
        <v>189</v>
      </c>
      <c r="F230" s="4">
        <v>44255</v>
      </c>
      <c r="G230" s="3">
        <v>474.41659405202802</v>
      </c>
      <c r="H230" t="s">
        <v>568</v>
      </c>
    </row>
    <row r="231" spans="1:8" ht="15.75" x14ac:dyDescent="0.3">
      <c r="A231" s="1" t="s">
        <v>231</v>
      </c>
      <c r="B231" s="1" t="s">
        <v>753</v>
      </c>
      <c r="D231" s="1" t="s">
        <v>57</v>
      </c>
      <c r="E231" s="1" t="s">
        <v>6</v>
      </c>
      <c r="F231" s="2">
        <v>40341</v>
      </c>
      <c r="G231" s="3">
        <v>704.224078713214</v>
      </c>
    </row>
    <row r="232" spans="1:8" ht="15.75" x14ac:dyDescent="0.3">
      <c r="A232" s="1" t="s">
        <v>232</v>
      </c>
      <c r="B232" s="1" t="s">
        <v>754</v>
      </c>
      <c r="C232">
        <v>41</v>
      </c>
      <c r="D232" s="1" t="s">
        <v>564</v>
      </c>
      <c r="E232" s="1" t="s">
        <v>6</v>
      </c>
      <c r="F232" s="2">
        <v>42293</v>
      </c>
      <c r="G232" s="3">
        <v>1500</v>
      </c>
      <c r="H232" t="s">
        <v>570</v>
      </c>
    </row>
    <row r="233" spans="1:8" ht="15.75" x14ac:dyDescent="0.3">
      <c r="A233" s="1" t="s">
        <v>233</v>
      </c>
      <c r="B233" s="1" t="s">
        <v>755</v>
      </c>
      <c r="C233">
        <v>19</v>
      </c>
      <c r="D233" s="1" t="s">
        <v>8</v>
      </c>
      <c r="E233" s="1" t="s">
        <v>189</v>
      </c>
      <c r="F233" s="4">
        <v>43554</v>
      </c>
      <c r="G233" s="3">
        <v>1500</v>
      </c>
      <c r="H233" t="s">
        <v>569</v>
      </c>
    </row>
    <row r="234" spans="1:8" ht="15.75" x14ac:dyDescent="0.3">
      <c r="A234" s="1" t="s">
        <v>234</v>
      </c>
      <c r="B234" s="1" t="s">
        <v>756</v>
      </c>
      <c r="D234" s="1" t="s">
        <v>565</v>
      </c>
      <c r="E234" s="1" t="s">
        <v>6</v>
      </c>
      <c r="F234" s="2">
        <v>45567</v>
      </c>
      <c r="G234" s="3">
        <v>788.64829000980899</v>
      </c>
      <c r="H234" t="s">
        <v>569</v>
      </c>
    </row>
    <row r="235" spans="1:8" ht="15.75" x14ac:dyDescent="0.3">
      <c r="A235" s="1" t="s">
        <v>235</v>
      </c>
      <c r="B235" s="1" t="s">
        <v>757</v>
      </c>
      <c r="D235" s="1" t="s">
        <v>565</v>
      </c>
      <c r="E235" s="1" t="s">
        <v>566</v>
      </c>
      <c r="F235" s="4">
        <v>43448</v>
      </c>
      <c r="G235" s="3">
        <v>5239.2522577125101</v>
      </c>
      <c r="H235" t="s">
        <v>570</v>
      </c>
    </row>
    <row r="236" spans="1:8" ht="15.75" x14ac:dyDescent="0.3">
      <c r="A236" s="1" t="s">
        <v>236</v>
      </c>
      <c r="B236" s="1" t="s">
        <v>758</v>
      </c>
      <c r="D236" s="1" t="s">
        <v>564</v>
      </c>
      <c r="E236" s="1" t="s">
        <v>566</v>
      </c>
      <c r="F236" s="2">
        <v>43915</v>
      </c>
      <c r="G236" s="3">
        <v>9500</v>
      </c>
    </row>
    <row r="237" spans="1:8" ht="15.75" x14ac:dyDescent="0.3">
      <c r="A237" s="1" t="s">
        <v>237</v>
      </c>
      <c r="B237" s="1" t="s">
        <v>759</v>
      </c>
      <c r="C237" t="s">
        <v>563</v>
      </c>
      <c r="D237" s="1" t="s">
        <v>57</v>
      </c>
      <c r="E237" s="1" t="s">
        <v>6</v>
      </c>
      <c r="F237" s="2">
        <v>36974</v>
      </c>
      <c r="G237" s="3">
        <v>18000</v>
      </c>
      <c r="H237" t="s">
        <v>570</v>
      </c>
    </row>
    <row r="238" spans="1:8" ht="15.75" x14ac:dyDescent="0.3">
      <c r="A238" s="1" t="s">
        <v>238</v>
      </c>
      <c r="B238" s="1" t="s">
        <v>760</v>
      </c>
      <c r="C238" t="s">
        <v>563</v>
      </c>
      <c r="D238" s="1" t="s">
        <v>564</v>
      </c>
      <c r="E238" s="1" t="s">
        <v>566</v>
      </c>
      <c r="F238" s="2">
        <v>38558</v>
      </c>
      <c r="G238" s="3">
        <v>745.978642305829</v>
      </c>
      <c r="H238" t="s">
        <v>571</v>
      </c>
    </row>
    <row r="239" spans="1:8" ht="15.75" x14ac:dyDescent="0.3">
      <c r="A239" s="1" t="s">
        <v>239</v>
      </c>
      <c r="B239" s="1" t="s">
        <v>761</v>
      </c>
      <c r="D239" s="1" t="s">
        <v>564</v>
      </c>
      <c r="E239" s="1" t="s">
        <v>6</v>
      </c>
      <c r="F239" s="4">
        <v>44211</v>
      </c>
      <c r="G239" s="3">
        <v>1382.2721408191301</v>
      </c>
      <c r="H239" t="s">
        <v>571</v>
      </c>
    </row>
    <row r="240" spans="1:8" ht="15.75" x14ac:dyDescent="0.3">
      <c r="A240" s="1" t="s">
        <v>240</v>
      </c>
      <c r="B240" s="1" t="s">
        <v>762</v>
      </c>
      <c r="D240" s="1" t="s">
        <v>565</v>
      </c>
      <c r="E240" s="1" t="s">
        <v>189</v>
      </c>
      <c r="F240" s="2">
        <v>41814</v>
      </c>
      <c r="G240" s="3">
        <v>9929.4319131085595</v>
      </c>
      <c r="H240" t="s">
        <v>571</v>
      </c>
    </row>
    <row r="241" spans="1:8" ht="15.75" x14ac:dyDescent="0.3">
      <c r="A241" s="1" t="s">
        <v>241</v>
      </c>
      <c r="B241" s="1" t="s">
        <v>763</v>
      </c>
      <c r="C241">
        <v>51</v>
      </c>
      <c r="D241" s="1" t="s">
        <v>5</v>
      </c>
      <c r="E241" s="1" t="s">
        <v>6</v>
      </c>
      <c r="F241" s="2">
        <v>45461</v>
      </c>
      <c r="G241" s="3">
        <v>1500</v>
      </c>
      <c r="H241" t="s">
        <v>569</v>
      </c>
    </row>
    <row r="242" spans="1:8" ht="15.75" x14ac:dyDescent="0.3">
      <c r="A242" s="1" t="s">
        <v>242</v>
      </c>
      <c r="B242" s="1" t="s">
        <v>764</v>
      </c>
      <c r="C242" t="s">
        <v>563</v>
      </c>
      <c r="D242" s="1" t="s">
        <v>564</v>
      </c>
      <c r="E242" s="1" t="s">
        <v>189</v>
      </c>
      <c r="F242" s="2">
        <v>36752</v>
      </c>
      <c r="G242" s="3">
        <v>8758.8392130253997</v>
      </c>
      <c r="H242" t="s">
        <v>569</v>
      </c>
    </row>
    <row r="243" spans="1:8" ht="15.75" x14ac:dyDescent="0.3">
      <c r="A243" s="1" t="s">
        <v>243</v>
      </c>
      <c r="B243" s="1" t="s">
        <v>765</v>
      </c>
      <c r="C243" t="s">
        <v>563</v>
      </c>
      <c r="D243" s="1" t="s">
        <v>57</v>
      </c>
      <c r="E243" s="1" t="s">
        <v>6</v>
      </c>
      <c r="F243" s="4">
        <v>43665</v>
      </c>
      <c r="G243" s="3">
        <v>695.11221893532002</v>
      </c>
    </row>
    <row r="244" spans="1:8" ht="15.75" x14ac:dyDescent="0.3">
      <c r="A244" s="1" t="s">
        <v>244</v>
      </c>
      <c r="B244" s="1" t="s">
        <v>766</v>
      </c>
      <c r="C244" t="s">
        <v>563</v>
      </c>
      <c r="D244" s="1" t="s">
        <v>565</v>
      </c>
      <c r="E244" s="1" t="s">
        <v>189</v>
      </c>
      <c r="F244" s="2">
        <v>45305</v>
      </c>
      <c r="G244" s="3">
        <v>9500</v>
      </c>
      <c r="H244" t="s">
        <v>568</v>
      </c>
    </row>
    <row r="245" spans="1:8" ht="15.75" x14ac:dyDescent="0.3">
      <c r="A245" s="1" t="s">
        <v>245</v>
      </c>
      <c r="B245" s="1" t="s">
        <v>767</v>
      </c>
      <c r="C245" t="s">
        <v>563</v>
      </c>
      <c r="D245" s="1" t="s">
        <v>564</v>
      </c>
      <c r="E245" s="1" t="s">
        <v>189</v>
      </c>
      <c r="F245" s="2">
        <v>43901</v>
      </c>
      <c r="G245" s="3"/>
      <c r="H245" t="s">
        <v>568</v>
      </c>
    </row>
    <row r="246" spans="1:8" ht="15.75" x14ac:dyDescent="0.3">
      <c r="A246" s="1" t="s">
        <v>246</v>
      </c>
      <c r="B246" s="1" t="s">
        <v>768</v>
      </c>
      <c r="D246" s="1" t="s">
        <v>5</v>
      </c>
      <c r="E246" s="1" t="s">
        <v>189</v>
      </c>
      <c r="F246" s="2">
        <v>45437</v>
      </c>
      <c r="G246" s="3">
        <v>9500</v>
      </c>
    </row>
    <row r="247" spans="1:8" ht="15.75" x14ac:dyDescent="0.3">
      <c r="A247" s="1" t="s">
        <v>247</v>
      </c>
      <c r="B247" s="1" t="s">
        <v>769</v>
      </c>
      <c r="D247" s="1" t="s">
        <v>565</v>
      </c>
      <c r="E247" s="1" t="s">
        <v>566</v>
      </c>
      <c r="F247" s="2" t="s">
        <v>511</v>
      </c>
      <c r="G247" s="3">
        <v>9500</v>
      </c>
    </row>
    <row r="248" spans="1:8" ht="15.75" x14ac:dyDescent="0.3">
      <c r="A248" s="1" t="s">
        <v>248</v>
      </c>
      <c r="B248" s="1" t="s">
        <v>770</v>
      </c>
      <c r="C248">
        <v>47</v>
      </c>
      <c r="D248" s="1" t="s">
        <v>564</v>
      </c>
      <c r="E248" s="1" t="s">
        <v>6</v>
      </c>
      <c r="F248" s="2">
        <v>40308</v>
      </c>
      <c r="G248" s="3">
        <v>850</v>
      </c>
      <c r="H248" t="s">
        <v>568</v>
      </c>
    </row>
    <row r="249" spans="1:8" ht="15.75" x14ac:dyDescent="0.3">
      <c r="A249" s="1" t="s">
        <v>249</v>
      </c>
      <c r="B249" s="1" t="s">
        <v>771</v>
      </c>
      <c r="C249" t="s">
        <v>563</v>
      </c>
      <c r="D249" s="1" t="s">
        <v>565</v>
      </c>
      <c r="E249" s="1" t="s">
        <v>189</v>
      </c>
      <c r="F249" s="4">
        <v>44033</v>
      </c>
      <c r="G249" s="3">
        <v>1500</v>
      </c>
      <c r="H249" t="s">
        <v>568</v>
      </c>
    </row>
    <row r="250" spans="1:8" ht="15.75" x14ac:dyDescent="0.3">
      <c r="A250" s="1" t="s">
        <v>250</v>
      </c>
      <c r="B250" s="1" t="s">
        <v>772</v>
      </c>
      <c r="C250">
        <v>60</v>
      </c>
      <c r="D250" s="1" t="s">
        <v>564</v>
      </c>
      <c r="E250" s="1" t="s">
        <v>6</v>
      </c>
      <c r="F250" s="2" t="s">
        <v>512</v>
      </c>
      <c r="G250" s="3">
        <v>9500</v>
      </c>
      <c r="H250" t="s">
        <v>569</v>
      </c>
    </row>
    <row r="251" spans="1:8" ht="15.75" x14ac:dyDescent="0.3">
      <c r="A251" s="1" t="s">
        <v>251</v>
      </c>
      <c r="B251" s="1" t="s">
        <v>773</v>
      </c>
      <c r="C251">
        <v>26</v>
      </c>
      <c r="D251" s="1" t="s">
        <v>70</v>
      </c>
      <c r="E251" s="1" t="s">
        <v>189</v>
      </c>
      <c r="F251" s="2">
        <v>39008</v>
      </c>
      <c r="G251" s="3">
        <v>1500</v>
      </c>
      <c r="H251" t="s">
        <v>570</v>
      </c>
    </row>
    <row r="252" spans="1:8" ht="15.75" x14ac:dyDescent="0.3">
      <c r="A252" s="1" t="s">
        <v>251</v>
      </c>
      <c r="B252" s="1" t="s">
        <v>773</v>
      </c>
      <c r="C252">
        <v>29</v>
      </c>
      <c r="D252" s="1" t="s">
        <v>8</v>
      </c>
      <c r="E252" s="1" t="s">
        <v>6</v>
      </c>
      <c r="F252" s="2">
        <v>39008</v>
      </c>
      <c r="G252" s="3">
        <v>1500</v>
      </c>
    </row>
    <row r="253" spans="1:8" ht="15.75" x14ac:dyDescent="0.3">
      <c r="A253" s="1" t="s">
        <v>252</v>
      </c>
      <c r="B253" s="1" t="s">
        <v>774</v>
      </c>
      <c r="C253">
        <v>41</v>
      </c>
      <c r="D253" s="1" t="s">
        <v>565</v>
      </c>
      <c r="E253" s="1" t="s">
        <v>6</v>
      </c>
      <c r="F253" s="2" t="s">
        <v>513</v>
      </c>
      <c r="G253" s="3">
        <v>295.36425398299599</v>
      </c>
    </row>
    <row r="254" spans="1:8" ht="15.75" x14ac:dyDescent="0.3">
      <c r="A254" s="1" t="s">
        <v>253</v>
      </c>
      <c r="B254" s="1" t="s">
        <v>775</v>
      </c>
      <c r="D254" s="1" t="s">
        <v>8</v>
      </c>
      <c r="E254" s="1" t="s">
        <v>6</v>
      </c>
      <c r="F254" s="2">
        <v>45441</v>
      </c>
      <c r="G254" s="3">
        <v>3760</v>
      </c>
    </row>
    <row r="255" spans="1:8" ht="15.75" x14ac:dyDescent="0.3">
      <c r="A255" s="1" t="s">
        <v>254</v>
      </c>
      <c r="B255" s="1" t="s">
        <v>776</v>
      </c>
      <c r="D255" s="1" t="s">
        <v>5</v>
      </c>
      <c r="E255" s="1" t="s">
        <v>189</v>
      </c>
      <c r="F255" s="2" t="s">
        <v>514</v>
      </c>
      <c r="G255" s="3">
        <v>1500</v>
      </c>
      <c r="H255" t="s">
        <v>568</v>
      </c>
    </row>
    <row r="256" spans="1:8" ht="15.75" x14ac:dyDescent="0.3">
      <c r="A256" s="1" t="s">
        <v>255</v>
      </c>
      <c r="B256" s="1" t="s">
        <v>777</v>
      </c>
      <c r="C256" t="s">
        <v>563</v>
      </c>
      <c r="D256" s="1" t="s">
        <v>8</v>
      </c>
      <c r="E256" s="1" t="s">
        <v>189</v>
      </c>
      <c r="F256" s="2" t="s">
        <v>515</v>
      </c>
      <c r="G256" s="3">
        <v>1500</v>
      </c>
      <c r="H256" t="s">
        <v>571</v>
      </c>
    </row>
    <row r="257" spans="1:8" ht="15.75" x14ac:dyDescent="0.3">
      <c r="A257" s="1" t="s">
        <v>256</v>
      </c>
      <c r="B257" s="1" t="s">
        <v>778</v>
      </c>
      <c r="C257" t="s">
        <v>563</v>
      </c>
      <c r="D257" s="1" t="s">
        <v>8</v>
      </c>
      <c r="E257" s="1" t="s">
        <v>6</v>
      </c>
      <c r="F257" s="4">
        <v>44058</v>
      </c>
      <c r="G257" s="3">
        <v>1230</v>
      </c>
    </row>
    <row r="258" spans="1:8" ht="15.75" x14ac:dyDescent="0.3">
      <c r="A258" s="1" t="s">
        <v>257</v>
      </c>
      <c r="B258" s="1" t="s">
        <v>779</v>
      </c>
      <c r="D258" s="1" t="s">
        <v>564</v>
      </c>
      <c r="E258" s="1" t="s">
        <v>566</v>
      </c>
      <c r="F258" s="2">
        <v>45480</v>
      </c>
      <c r="G258" s="3">
        <v>1500</v>
      </c>
      <c r="H258" t="s">
        <v>569</v>
      </c>
    </row>
    <row r="259" spans="1:8" ht="15.75" x14ac:dyDescent="0.3">
      <c r="A259" s="1" t="s">
        <v>258</v>
      </c>
      <c r="B259" s="1" t="s">
        <v>780</v>
      </c>
      <c r="C259" t="s">
        <v>563</v>
      </c>
      <c r="D259" s="1" t="s">
        <v>564</v>
      </c>
      <c r="E259" s="1" t="s">
        <v>566</v>
      </c>
      <c r="F259" s="2" t="s">
        <v>516</v>
      </c>
      <c r="G259" s="3">
        <v>1500</v>
      </c>
      <c r="H259" t="s">
        <v>568</v>
      </c>
    </row>
    <row r="260" spans="1:8" ht="15.75" x14ac:dyDescent="0.3">
      <c r="A260" s="1" t="s">
        <v>259</v>
      </c>
      <c r="B260" s="1" t="s">
        <v>781</v>
      </c>
      <c r="D260" s="1" t="s">
        <v>565</v>
      </c>
      <c r="E260" s="1" t="s">
        <v>189</v>
      </c>
      <c r="F260" s="2">
        <v>45467</v>
      </c>
      <c r="G260" s="3">
        <v>479.44845860386903</v>
      </c>
    </row>
    <row r="261" spans="1:8" ht="15.75" x14ac:dyDescent="0.3">
      <c r="A261" s="1" t="s">
        <v>260</v>
      </c>
      <c r="B261" s="1" t="s">
        <v>782</v>
      </c>
      <c r="D261" s="1" t="s">
        <v>5</v>
      </c>
      <c r="E261" s="1" t="s">
        <v>189</v>
      </c>
      <c r="F261" s="2" t="s">
        <v>517</v>
      </c>
      <c r="G261" s="3">
        <v>76.989638932025997</v>
      </c>
      <c r="H261" t="s">
        <v>568</v>
      </c>
    </row>
    <row r="262" spans="1:8" ht="15.75" x14ac:dyDescent="0.3">
      <c r="A262" s="1" t="s">
        <v>260</v>
      </c>
      <c r="B262" s="1" t="s">
        <v>782</v>
      </c>
      <c r="C262" t="s">
        <v>563</v>
      </c>
      <c r="D262" s="1" t="s">
        <v>5</v>
      </c>
      <c r="E262" s="1" t="s">
        <v>189</v>
      </c>
      <c r="F262" s="2" t="s">
        <v>517</v>
      </c>
      <c r="G262" s="3">
        <v>76.989638932025997</v>
      </c>
      <c r="H262" t="s">
        <v>569</v>
      </c>
    </row>
    <row r="263" spans="1:8" ht="15.75" x14ac:dyDescent="0.3">
      <c r="A263" s="1" t="s">
        <v>261</v>
      </c>
      <c r="B263" s="1" t="s">
        <v>783</v>
      </c>
      <c r="C263" t="s">
        <v>563</v>
      </c>
      <c r="D263" s="1" t="s">
        <v>5</v>
      </c>
      <c r="E263" s="1" t="s">
        <v>189</v>
      </c>
      <c r="F263" s="4">
        <v>44316</v>
      </c>
      <c r="G263" s="3">
        <v>120000</v>
      </c>
    </row>
    <row r="264" spans="1:8" ht="15.75" x14ac:dyDescent="0.3">
      <c r="A264" s="1" t="s">
        <v>262</v>
      </c>
      <c r="B264" s="1" t="s">
        <v>784</v>
      </c>
      <c r="D264" s="1" t="s">
        <v>57</v>
      </c>
      <c r="E264" s="1" t="s">
        <v>6</v>
      </c>
      <c r="F264" s="4">
        <v>43902</v>
      </c>
      <c r="G264" s="3">
        <v>906.46890391195802</v>
      </c>
    </row>
    <row r="265" spans="1:8" ht="15.75" x14ac:dyDescent="0.3">
      <c r="A265" s="1" t="s">
        <v>263</v>
      </c>
      <c r="B265" s="1" t="s">
        <v>785</v>
      </c>
      <c r="D265" s="1" t="s">
        <v>564</v>
      </c>
      <c r="E265" s="1" t="s">
        <v>6</v>
      </c>
      <c r="F265" s="2">
        <v>42812</v>
      </c>
      <c r="G265" s="3">
        <v>1500</v>
      </c>
    </row>
    <row r="266" spans="1:8" ht="15.75" x14ac:dyDescent="0.3">
      <c r="A266" s="1" t="s">
        <v>264</v>
      </c>
      <c r="B266" s="1" t="s">
        <v>786</v>
      </c>
      <c r="D266" s="1" t="s">
        <v>8</v>
      </c>
      <c r="E266" s="1" t="s">
        <v>566</v>
      </c>
      <c r="F266" s="2" t="s">
        <v>518</v>
      </c>
      <c r="G266" s="3">
        <v>696.68046574207699</v>
      </c>
      <c r="H266" t="s">
        <v>571</v>
      </c>
    </row>
    <row r="267" spans="1:8" ht="15.75" x14ac:dyDescent="0.3">
      <c r="A267" s="1" t="s">
        <v>265</v>
      </c>
      <c r="B267" s="1" t="s">
        <v>787</v>
      </c>
      <c r="D267" s="1" t="s">
        <v>8</v>
      </c>
      <c r="E267" s="1" t="s">
        <v>6</v>
      </c>
      <c r="F267" s="2" t="s">
        <v>519</v>
      </c>
      <c r="G267" s="3">
        <v>9500</v>
      </c>
      <c r="H267" t="s">
        <v>571</v>
      </c>
    </row>
    <row r="268" spans="1:8" ht="15.75" x14ac:dyDescent="0.3">
      <c r="A268" s="1" t="s">
        <v>266</v>
      </c>
      <c r="B268" s="1" t="s">
        <v>788</v>
      </c>
      <c r="D268" s="1" t="s">
        <v>564</v>
      </c>
      <c r="E268" s="1" t="s">
        <v>189</v>
      </c>
      <c r="F268" s="4">
        <v>44033</v>
      </c>
      <c r="G268" s="3">
        <v>9500</v>
      </c>
      <c r="H268" t="s">
        <v>569</v>
      </c>
    </row>
    <row r="269" spans="1:8" ht="15.75" x14ac:dyDescent="0.3">
      <c r="A269" s="1" t="s">
        <v>267</v>
      </c>
      <c r="B269" s="1" t="s">
        <v>789</v>
      </c>
      <c r="C269" t="s">
        <v>563</v>
      </c>
      <c r="D269" s="1" t="s">
        <v>564</v>
      </c>
      <c r="E269" s="1" t="s">
        <v>566</v>
      </c>
      <c r="F269" s="2">
        <v>45423</v>
      </c>
      <c r="G269" s="3">
        <v>9500</v>
      </c>
      <c r="H269" t="s">
        <v>568</v>
      </c>
    </row>
    <row r="270" spans="1:8" ht="15.75" x14ac:dyDescent="0.3">
      <c r="A270" s="1" t="s">
        <v>268</v>
      </c>
      <c r="B270" s="1" t="s">
        <v>790</v>
      </c>
      <c r="C270" t="s">
        <v>563</v>
      </c>
      <c r="D270" s="1" t="s">
        <v>5</v>
      </c>
      <c r="E270" s="1" t="s">
        <v>6</v>
      </c>
      <c r="F270" s="4">
        <v>44606</v>
      </c>
      <c r="G270" s="3">
        <v>9800</v>
      </c>
      <c r="H270" t="s">
        <v>569</v>
      </c>
    </row>
    <row r="271" spans="1:8" ht="15.75" x14ac:dyDescent="0.3">
      <c r="A271" s="1" t="s">
        <v>269</v>
      </c>
      <c r="B271" s="1" t="s">
        <v>791</v>
      </c>
      <c r="C271" t="s">
        <v>563</v>
      </c>
      <c r="D271" s="1" t="s">
        <v>565</v>
      </c>
      <c r="E271" s="1" t="s">
        <v>189</v>
      </c>
      <c r="F271" s="2">
        <v>45425</v>
      </c>
      <c r="G271" s="3">
        <v>1500</v>
      </c>
      <c r="H271" t="s">
        <v>568</v>
      </c>
    </row>
    <row r="272" spans="1:8" ht="15.75" x14ac:dyDescent="0.3">
      <c r="A272" s="1" t="s">
        <v>270</v>
      </c>
      <c r="B272" s="1" t="s">
        <v>792</v>
      </c>
      <c r="D272" s="1" t="s">
        <v>57</v>
      </c>
      <c r="E272" s="1" t="s">
        <v>189</v>
      </c>
      <c r="F272" s="2" t="s">
        <v>520</v>
      </c>
      <c r="G272" s="3">
        <v>520</v>
      </c>
      <c r="H272" t="s">
        <v>568</v>
      </c>
    </row>
    <row r="273" spans="1:8" ht="15.75" x14ac:dyDescent="0.3">
      <c r="A273" s="1" t="s">
        <v>271</v>
      </c>
      <c r="B273" s="1" t="s">
        <v>793</v>
      </c>
      <c r="C273">
        <v>52</v>
      </c>
      <c r="D273" s="1" t="s">
        <v>565</v>
      </c>
      <c r="E273" s="1" t="s">
        <v>6</v>
      </c>
      <c r="F273" s="4">
        <v>44450</v>
      </c>
      <c r="G273" s="3">
        <v>9500</v>
      </c>
    </row>
    <row r="274" spans="1:8" ht="15.75" x14ac:dyDescent="0.3">
      <c r="A274" s="1" t="s">
        <v>272</v>
      </c>
      <c r="B274" s="1" t="s">
        <v>794</v>
      </c>
      <c r="C274" t="s">
        <v>563</v>
      </c>
      <c r="D274" s="1" t="s">
        <v>565</v>
      </c>
      <c r="E274" s="1" t="s">
        <v>189</v>
      </c>
      <c r="F274" s="2">
        <v>45344</v>
      </c>
      <c r="G274" s="3">
        <v>9500</v>
      </c>
      <c r="H274" t="s">
        <v>570</v>
      </c>
    </row>
    <row r="275" spans="1:8" ht="15.75" x14ac:dyDescent="0.3">
      <c r="A275" s="1" t="s">
        <v>273</v>
      </c>
      <c r="B275" s="1" t="s">
        <v>795</v>
      </c>
      <c r="C275">
        <v>54</v>
      </c>
      <c r="D275" s="1" t="s">
        <v>564</v>
      </c>
      <c r="E275" s="1" t="s">
        <v>6</v>
      </c>
      <c r="F275" s="2">
        <v>45364</v>
      </c>
      <c r="G275" s="3">
        <v>767.64074282127797</v>
      </c>
      <c r="H275" t="s">
        <v>569</v>
      </c>
    </row>
    <row r="276" spans="1:8" ht="15.75" x14ac:dyDescent="0.3">
      <c r="A276" s="1" t="s">
        <v>274</v>
      </c>
      <c r="B276" s="1" t="s">
        <v>796</v>
      </c>
      <c r="C276" t="s">
        <v>563</v>
      </c>
      <c r="D276" s="1" t="s">
        <v>5</v>
      </c>
      <c r="E276" s="1" t="s">
        <v>566</v>
      </c>
      <c r="F276" s="4">
        <v>43490</v>
      </c>
      <c r="G276" s="3">
        <v>5163.5156268235496</v>
      </c>
    </row>
    <row r="277" spans="1:8" ht="15.75" x14ac:dyDescent="0.3">
      <c r="A277" s="1" t="s">
        <v>275</v>
      </c>
      <c r="B277" s="1" t="s">
        <v>797</v>
      </c>
      <c r="C277">
        <v>39</v>
      </c>
      <c r="D277" s="1" t="s">
        <v>8</v>
      </c>
      <c r="E277" s="1" t="s">
        <v>6</v>
      </c>
      <c r="F277" s="2">
        <v>45319</v>
      </c>
      <c r="G277" s="3">
        <v>2091.4132798554401</v>
      </c>
    </row>
    <row r="278" spans="1:8" ht="15.75" x14ac:dyDescent="0.3">
      <c r="A278" s="1" t="s">
        <v>194</v>
      </c>
      <c r="B278" s="1" t="s">
        <v>798</v>
      </c>
      <c r="D278" s="1" t="s">
        <v>564</v>
      </c>
      <c r="E278" s="1" t="s">
        <v>6</v>
      </c>
      <c r="F278" s="2">
        <v>44378</v>
      </c>
      <c r="G278" s="3">
        <v>618.46916320055902</v>
      </c>
    </row>
    <row r="279" spans="1:8" ht="15.75" x14ac:dyDescent="0.3">
      <c r="A279" s="1" t="s">
        <v>276</v>
      </c>
      <c r="B279" s="1" t="s">
        <v>799</v>
      </c>
      <c r="C279" t="s">
        <v>563</v>
      </c>
      <c r="D279" s="1" t="s">
        <v>564</v>
      </c>
      <c r="E279" s="1" t="s">
        <v>189</v>
      </c>
      <c r="F279" s="2" t="s">
        <v>521</v>
      </c>
      <c r="G279" s="3">
        <v>1450</v>
      </c>
      <c r="H279" t="s">
        <v>569</v>
      </c>
    </row>
    <row r="280" spans="1:8" ht="15.75" x14ac:dyDescent="0.3">
      <c r="A280" s="1" t="s">
        <v>277</v>
      </c>
      <c r="B280" s="1" t="s">
        <v>800</v>
      </c>
      <c r="C280" t="s">
        <v>563</v>
      </c>
      <c r="D280" s="1" t="s">
        <v>564</v>
      </c>
      <c r="E280" s="1" t="s">
        <v>566</v>
      </c>
      <c r="F280" s="2" t="s">
        <v>522</v>
      </c>
      <c r="G280" s="3">
        <v>1500</v>
      </c>
      <c r="H280" t="s">
        <v>568</v>
      </c>
    </row>
    <row r="281" spans="1:8" ht="15.75" x14ac:dyDescent="0.3">
      <c r="A281" s="1" t="s">
        <v>278</v>
      </c>
      <c r="B281" s="1" t="s">
        <v>801</v>
      </c>
      <c r="C281">
        <v>52</v>
      </c>
      <c r="D281" s="1" t="s">
        <v>565</v>
      </c>
      <c r="E281" s="1" t="s">
        <v>189</v>
      </c>
      <c r="F281" s="2">
        <v>40239</v>
      </c>
      <c r="G281" s="3">
        <v>1500</v>
      </c>
    </row>
    <row r="282" spans="1:8" ht="15.75" x14ac:dyDescent="0.3">
      <c r="A282" s="1" t="s">
        <v>256</v>
      </c>
      <c r="B282" s="1" t="s">
        <v>778</v>
      </c>
      <c r="C282" t="s">
        <v>563</v>
      </c>
      <c r="D282" s="1" t="s">
        <v>8</v>
      </c>
      <c r="E282" s="1" t="s">
        <v>6</v>
      </c>
      <c r="F282" s="4">
        <v>44058</v>
      </c>
      <c r="G282" s="3">
        <v>1230</v>
      </c>
    </row>
    <row r="283" spans="1:8" ht="15.75" x14ac:dyDescent="0.3">
      <c r="A283" s="1" t="s">
        <v>257</v>
      </c>
      <c r="B283" s="1" t="s">
        <v>779</v>
      </c>
      <c r="D283" s="1" t="s">
        <v>564</v>
      </c>
      <c r="E283" s="1" t="s">
        <v>566</v>
      </c>
      <c r="F283" s="2">
        <v>45480</v>
      </c>
      <c r="G283" s="3">
        <v>1500</v>
      </c>
      <c r="H283" t="s">
        <v>569</v>
      </c>
    </row>
    <row r="284" spans="1:8" ht="15.75" x14ac:dyDescent="0.3">
      <c r="A284" s="1" t="s">
        <v>258</v>
      </c>
      <c r="B284" s="1" t="s">
        <v>780</v>
      </c>
      <c r="C284" t="s">
        <v>563</v>
      </c>
      <c r="D284" s="1" t="s">
        <v>564</v>
      </c>
      <c r="E284" s="1" t="s">
        <v>566</v>
      </c>
      <c r="F284" s="2" t="s">
        <v>516</v>
      </c>
      <c r="G284" s="3">
        <v>1500</v>
      </c>
      <c r="H284" t="s">
        <v>568</v>
      </c>
    </row>
    <row r="285" spans="1:8" ht="15.75" x14ac:dyDescent="0.3">
      <c r="A285" s="1" t="s">
        <v>259</v>
      </c>
      <c r="B285" s="1" t="s">
        <v>781</v>
      </c>
      <c r="D285" s="1" t="s">
        <v>565</v>
      </c>
      <c r="E285" s="1" t="s">
        <v>189</v>
      </c>
      <c r="F285" s="2">
        <v>45467</v>
      </c>
      <c r="G285" s="3">
        <v>479.44845860386903</v>
      </c>
    </row>
    <row r="286" spans="1:8" ht="15.75" x14ac:dyDescent="0.3">
      <c r="A286" s="1" t="s">
        <v>279</v>
      </c>
      <c r="B286" s="1" t="s">
        <v>802</v>
      </c>
      <c r="C286">
        <v>56</v>
      </c>
      <c r="D286" s="1" t="s">
        <v>8</v>
      </c>
      <c r="E286" s="1" t="s">
        <v>6</v>
      </c>
      <c r="F286" s="2">
        <v>27670</v>
      </c>
      <c r="G286" s="3">
        <v>373.65406767253199</v>
      </c>
      <c r="H286" t="s">
        <v>570</v>
      </c>
    </row>
    <row r="287" spans="1:8" ht="15.75" x14ac:dyDescent="0.3">
      <c r="A287" s="1" t="s">
        <v>280</v>
      </c>
      <c r="B287" s="1" t="s">
        <v>803</v>
      </c>
      <c r="C287" t="s">
        <v>563</v>
      </c>
      <c r="D287" s="1" t="s">
        <v>564</v>
      </c>
      <c r="E287" s="1" t="s">
        <v>6</v>
      </c>
      <c r="F287" s="2" t="s">
        <v>523</v>
      </c>
      <c r="G287" s="3">
        <v>9357.6047552103901</v>
      </c>
      <c r="H287" t="s">
        <v>569</v>
      </c>
    </row>
    <row r="288" spans="1:8" ht="15.75" x14ac:dyDescent="0.3">
      <c r="A288" s="1" t="s">
        <v>281</v>
      </c>
      <c r="B288" s="1" t="s">
        <v>804</v>
      </c>
      <c r="C288" t="s">
        <v>563</v>
      </c>
      <c r="D288" s="1" t="s">
        <v>565</v>
      </c>
      <c r="E288" s="1" t="s">
        <v>6</v>
      </c>
      <c r="F288" s="2">
        <v>45467</v>
      </c>
      <c r="G288" s="3">
        <v>395.91958481062102</v>
      </c>
    </row>
    <row r="289" spans="1:8" ht="15.75" x14ac:dyDescent="0.3">
      <c r="A289" s="1" t="s">
        <v>282</v>
      </c>
      <c r="B289" s="1" t="s">
        <v>805</v>
      </c>
      <c r="C289" t="s">
        <v>563</v>
      </c>
      <c r="D289" s="1" t="s">
        <v>8</v>
      </c>
      <c r="E289" s="1" t="s">
        <v>189</v>
      </c>
      <c r="F289" s="2">
        <v>44072</v>
      </c>
      <c r="G289" s="3">
        <v>369.16325329443299</v>
      </c>
    </row>
    <row r="290" spans="1:8" ht="15.75" x14ac:dyDescent="0.3">
      <c r="A290" s="1" t="s">
        <v>283</v>
      </c>
      <c r="B290" s="1" t="s">
        <v>806</v>
      </c>
      <c r="C290">
        <v>25</v>
      </c>
      <c r="D290" s="1" t="s">
        <v>5</v>
      </c>
      <c r="E290" s="1" t="s">
        <v>189</v>
      </c>
      <c r="F290" s="2">
        <v>45375</v>
      </c>
      <c r="G290" s="3">
        <v>1500</v>
      </c>
    </row>
    <row r="291" spans="1:8" ht="15.75" x14ac:dyDescent="0.3">
      <c r="A291" s="1" t="s">
        <v>284</v>
      </c>
      <c r="B291" s="1" t="s">
        <v>807</v>
      </c>
      <c r="D291" s="1" t="s">
        <v>8</v>
      </c>
      <c r="E291" s="1" t="s">
        <v>566</v>
      </c>
      <c r="F291" s="2">
        <v>33583</v>
      </c>
      <c r="G291" s="3">
        <v>8304.3653221610493</v>
      </c>
      <c r="H291" t="s">
        <v>568</v>
      </c>
    </row>
    <row r="292" spans="1:8" ht="15.75" x14ac:dyDescent="0.3">
      <c r="A292" s="1" t="s">
        <v>285</v>
      </c>
      <c r="B292" s="1" t="s">
        <v>808</v>
      </c>
      <c r="C292">
        <v>69</v>
      </c>
      <c r="D292" s="1" t="s">
        <v>564</v>
      </c>
      <c r="E292" s="1" t="s">
        <v>6</v>
      </c>
      <c r="F292" s="2">
        <v>45346</v>
      </c>
      <c r="G292" s="3">
        <v>1500</v>
      </c>
      <c r="H292" t="s">
        <v>568</v>
      </c>
    </row>
    <row r="293" spans="1:8" ht="15.75" x14ac:dyDescent="0.3">
      <c r="A293" s="1" t="s">
        <v>286</v>
      </c>
      <c r="B293" s="1" t="s">
        <v>809</v>
      </c>
      <c r="D293" s="1" t="s">
        <v>564</v>
      </c>
      <c r="E293" s="1" t="s">
        <v>6</v>
      </c>
      <c r="F293" s="4">
        <v>44255</v>
      </c>
      <c r="G293" s="3">
        <v>9500</v>
      </c>
      <c r="H293" t="s">
        <v>570</v>
      </c>
    </row>
    <row r="294" spans="1:8" ht="15.75" x14ac:dyDescent="0.3">
      <c r="A294" s="1" t="s">
        <v>287</v>
      </c>
      <c r="B294" s="1" t="s">
        <v>810</v>
      </c>
      <c r="D294" s="1" t="s">
        <v>564</v>
      </c>
      <c r="E294" s="1" t="s">
        <v>189</v>
      </c>
      <c r="F294" s="2">
        <v>45440</v>
      </c>
      <c r="G294" s="3">
        <v>1500</v>
      </c>
    </row>
    <row r="295" spans="1:8" ht="15.75" x14ac:dyDescent="0.3">
      <c r="A295" s="1" t="s">
        <v>287</v>
      </c>
      <c r="B295" s="1" t="s">
        <v>810</v>
      </c>
      <c r="C295" t="s">
        <v>563</v>
      </c>
      <c r="D295" s="1" t="s">
        <v>564</v>
      </c>
      <c r="E295" s="1" t="s">
        <v>189</v>
      </c>
      <c r="F295" s="2">
        <v>45440</v>
      </c>
      <c r="G295" s="3">
        <v>1500</v>
      </c>
    </row>
    <row r="296" spans="1:8" ht="15.75" x14ac:dyDescent="0.3">
      <c r="A296" s="1" t="s">
        <v>288</v>
      </c>
      <c r="B296" s="1" t="s">
        <v>811</v>
      </c>
      <c r="C296">
        <v>19</v>
      </c>
      <c r="D296" s="1" t="s">
        <v>5</v>
      </c>
      <c r="E296" s="1" t="s">
        <v>189</v>
      </c>
      <c r="F296" s="2">
        <v>40599</v>
      </c>
      <c r="G296" s="3">
        <v>1500</v>
      </c>
    </row>
    <row r="297" spans="1:8" ht="15.75" x14ac:dyDescent="0.3">
      <c r="A297" s="1" t="s">
        <v>288</v>
      </c>
      <c r="B297" s="1" t="s">
        <v>811</v>
      </c>
      <c r="C297">
        <v>20</v>
      </c>
      <c r="D297" s="1" t="s">
        <v>5</v>
      </c>
      <c r="E297" s="1" t="s">
        <v>6</v>
      </c>
      <c r="F297" s="2">
        <v>40599</v>
      </c>
      <c r="G297" s="3">
        <v>1500</v>
      </c>
      <c r="H297" t="s">
        <v>570</v>
      </c>
    </row>
    <row r="298" spans="1:8" ht="15.75" x14ac:dyDescent="0.3">
      <c r="A298" s="1" t="s">
        <v>289</v>
      </c>
      <c r="B298" s="1" t="s">
        <v>812</v>
      </c>
      <c r="D298" s="1" t="s">
        <v>8</v>
      </c>
      <c r="E298" s="1" t="s">
        <v>189</v>
      </c>
      <c r="F298" s="2">
        <v>44145</v>
      </c>
      <c r="G298" s="3">
        <v>272.81530034096198</v>
      </c>
      <c r="H298" t="s">
        <v>568</v>
      </c>
    </row>
    <row r="299" spans="1:8" ht="15.75" x14ac:dyDescent="0.3">
      <c r="A299" s="1" t="s">
        <v>289</v>
      </c>
      <c r="B299" s="1" t="s">
        <v>812</v>
      </c>
      <c r="D299" s="1" t="s">
        <v>8</v>
      </c>
      <c r="E299" s="1" t="s">
        <v>189</v>
      </c>
      <c r="F299" s="2">
        <v>44145</v>
      </c>
      <c r="G299" s="3">
        <v>272.81530034096198</v>
      </c>
      <c r="H299" t="s">
        <v>568</v>
      </c>
    </row>
    <row r="300" spans="1:8" ht="15.75" x14ac:dyDescent="0.3">
      <c r="A300" s="1" t="s">
        <v>290</v>
      </c>
      <c r="B300" s="1" t="s">
        <v>813</v>
      </c>
      <c r="D300" s="1" t="s">
        <v>565</v>
      </c>
      <c r="E300" s="1" t="s">
        <v>6</v>
      </c>
      <c r="F300" s="4">
        <v>44428</v>
      </c>
      <c r="G300" s="3">
        <v>2189.0701284622</v>
      </c>
      <c r="H300" t="s">
        <v>568</v>
      </c>
    </row>
    <row r="301" spans="1:8" ht="15.75" x14ac:dyDescent="0.3">
      <c r="A301" s="1" t="s">
        <v>291</v>
      </c>
      <c r="B301" s="1" t="s">
        <v>814</v>
      </c>
      <c r="C301">
        <v>48</v>
      </c>
      <c r="D301" s="1" t="s">
        <v>8</v>
      </c>
      <c r="E301" s="1" t="s">
        <v>6</v>
      </c>
      <c r="F301" s="4">
        <v>44037</v>
      </c>
      <c r="G301" s="3">
        <v>9500</v>
      </c>
    </row>
    <row r="302" spans="1:8" ht="15.75" x14ac:dyDescent="0.3">
      <c r="A302" s="1" t="s">
        <v>292</v>
      </c>
      <c r="B302" s="1" t="s">
        <v>815</v>
      </c>
      <c r="C302">
        <v>59</v>
      </c>
      <c r="D302" s="1" t="s">
        <v>5</v>
      </c>
      <c r="E302" s="1" t="s">
        <v>6</v>
      </c>
      <c r="F302" s="2" t="s">
        <v>524</v>
      </c>
      <c r="G302" s="3">
        <v>283.017642554421</v>
      </c>
      <c r="H302" t="s">
        <v>569</v>
      </c>
    </row>
    <row r="303" spans="1:8" ht="15.75" x14ac:dyDescent="0.3">
      <c r="A303" s="1" t="s">
        <v>293</v>
      </c>
      <c r="B303" s="1" t="s">
        <v>816</v>
      </c>
      <c r="C303">
        <v>47</v>
      </c>
      <c r="D303" s="1" t="s">
        <v>564</v>
      </c>
      <c r="E303" s="1" t="s">
        <v>6</v>
      </c>
      <c r="F303" s="2" t="s">
        <v>525</v>
      </c>
      <c r="G303" s="3">
        <v>1500</v>
      </c>
      <c r="H303" t="s">
        <v>569</v>
      </c>
    </row>
    <row r="304" spans="1:8" ht="15.75" x14ac:dyDescent="0.3">
      <c r="A304" s="1" t="s">
        <v>294</v>
      </c>
      <c r="B304" s="1" t="s">
        <v>817</v>
      </c>
      <c r="D304" s="1" t="s">
        <v>8</v>
      </c>
      <c r="E304" s="1" t="s">
        <v>189</v>
      </c>
      <c r="F304" s="2" t="s">
        <v>526</v>
      </c>
      <c r="G304" s="3">
        <v>10000</v>
      </c>
    </row>
    <row r="305" spans="1:8" ht="15.75" x14ac:dyDescent="0.3">
      <c r="A305" s="1" t="s">
        <v>295</v>
      </c>
      <c r="B305" s="1" t="s">
        <v>818</v>
      </c>
      <c r="C305">
        <v>18</v>
      </c>
      <c r="D305" s="1" t="s">
        <v>564</v>
      </c>
      <c r="E305" s="1" t="s">
        <v>6</v>
      </c>
      <c r="F305" s="2">
        <v>41666</v>
      </c>
      <c r="G305" s="3">
        <v>9500</v>
      </c>
    </row>
    <row r="306" spans="1:8" ht="15.75" x14ac:dyDescent="0.3">
      <c r="A306" s="1" t="s">
        <v>296</v>
      </c>
      <c r="B306" s="1" t="s">
        <v>819</v>
      </c>
      <c r="C306" t="s">
        <v>563</v>
      </c>
      <c r="D306" s="1" t="s">
        <v>57</v>
      </c>
      <c r="E306" s="1" t="s">
        <v>566</v>
      </c>
      <c r="F306" s="2" t="s">
        <v>527</v>
      </c>
      <c r="G306" s="3">
        <v>5728.3587570766304</v>
      </c>
      <c r="H306" t="s">
        <v>568</v>
      </c>
    </row>
    <row r="307" spans="1:8" ht="15.75" x14ac:dyDescent="0.3">
      <c r="A307" s="1" t="s">
        <v>297</v>
      </c>
      <c r="B307" s="1" t="s">
        <v>820</v>
      </c>
      <c r="D307" s="1" t="s">
        <v>57</v>
      </c>
      <c r="E307" s="1" t="s">
        <v>189</v>
      </c>
      <c r="F307" s="2">
        <v>45334</v>
      </c>
      <c r="G307" s="3">
        <v>7119.9580914626404</v>
      </c>
      <c r="H307" t="s">
        <v>568</v>
      </c>
    </row>
    <row r="308" spans="1:8" ht="15.75" x14ac:dyDescent="0.3">
      <c r="A308" s="1" t="s">
        <v>298</v>
      </c>
      <c r="B308" s="1" t="s">
        <v>821</v>
      </c>
      <c r="C308">
        <v>68</v>
      </c>
      <c r="D308" s="1" t="s">
        <v>5</v>
      </c>
      <c r="E308" s="1" t="s">
        <v>6</v>
      </c>
      <c r="F308" s="4">
        <v>44140</v>
      </c>
      <c r="G308" s="3">
        <v>9500</v>
      </c>
    </row>
    <row r="309" spans="1:8" ht="15.75" x14ac:dyDescent="0.3">
      <c r="A309" s="1" t="s">
        <v>299</v>
      </c>
      <c r="B309" s="1" t="s">
        <v>822</v>
      </c>
      <c r="C309" t="s">
        <v>563</v>
      </c>
      <c r="D309" s="1" t="s">
        <v>564</v>
      </c>
      <c r="E309" s="1" t="s">
        <v>189</v>
      </c>
      <c r="F309" s="2">
        <v>37412</v>
      </c>
      <c r="G309" s="3">
        <v>50000</v>
      </c>
      <c r="H309" t="s">
        <v>569</v>
      </c>
    </row>
    <row r="310" spans="1:8" ht="15.75" x14ac:dyDescent="0.3">
      <c r="A310" s="1" t="s">
        <v>300</v>
      </c>
      <c r="B310" s="1" t="s">
        <v>823</v>
      </c>
      <c r="C310" t="s">
        <v>563</v>
      </c>
      <c r="D310" s="1" t="s">
        <v>8</v>
      </c>
      <c r="E310" s="1" t="s">
        <v>189</v>
      </c>
      <c r="F310" s="2">
        <v>44568</v>
      </c>
      <c r="G310" s="3">
        <v>194.76043370859199</v>
      </c>
    </row>
    <row r="311" spans="1:8" ht="15.75" x14ac:dyDescent="0.3">
      <c r="A311" s="1" t="s">
        <v>301</v>
      </c>
      <c r="B311" s="1" t="s">
        <v>824</v>
      </c>
      <c r="C311" t="s">
        <v>563</v>
      </c>
      <c r="D311" s="1" t="s">
        <v>5</v>
      </c>
      <c r="E311" s="1" t="s">
        <v>6</v>
      </c>
      <c r="F311" s="2">
        <v>42691</v>
      </c>
      <c r="G311" s="3">
        <v>1500</v>
      </c>
    </row>
    <row r="312" spans="1:8" ht="15.75" x14ac:dyDescent="0.3">
      <c r="A312" s="1" t="s">
        <v>302</v>
      </c>
      <c r="B312" s="1" t="s">
        <v>825</v>
      </c>
      <c r="C312">
        <v>43</v>
      </c>
      <c r="D312" s="1" t="s">
        <v>565</v>
      </c>
      <c r="E312" s="1" t="s">
        <v>189</v>
      </c>
      <c r="F312" s="4">
        <v>43554</v>
      </c>
      <c r="G312" s="3">
        <v>9500</v>
      </c>
      <c r="H312" t="s">
        <v>568</v>
      </c>
    </row>
    <row r="313" spans="1:8" ht="15.75" x14ac:dyDescent="0.3">
      <c r="A313" s="1" t="s">
        <v>303</v>
      </c>
      <c r="B313" s="1" t="s">
        <v>826</v>
      </c>
      <c r="C313">
        <v>31</v>
      </c>
      <c r="D313" s="1" t="s">
        <v>5</v>
      </c>
      <c r="E313" s="1" t="s">
        <v>189</v>
      </c>
      <c r="F313" s="2">
        <v>45420</v>
      </c>
      <c r="G313" s="3">
        <v>921.05159041783804</v>
      </c>
      <c r="H313" t="s">
        <v>569</v>
      </c>
    </row>
    <row r="314" spans="1:8" ht="15.75" x14ac:dyDescent="0.3">
      <c r="A314" s="1" t="s">
        <v>304</v>
      </c>
      <c r="B314" s="1" t="s">
        <v>827</v>
      </c>
      <c r="D314" s="1" t="s">
        <v>8</v>
      </c>
      <c r="E314" s="1" t="s">
        <v>189</v>
      </c>
      <c r="F314" s="2" t="s">
        <v>528</v>
      </c>
      <c r="G314" s="3">
        <v>90</v>
      </c>
      <c r="H314" t="s">
        <v>568</v>
      </c>
    </row>
    <row r="315" spans="1:8" ht="15.75" x14ac:dyDescent="0.3">
      <c r="A315" s="1" t="s">
        <v>305</v>
      </c>
      <c r="B315" s="1" t="s">
        <v>828</v>
      </c>
      <c r="D315" s="1" t="s">
        <v>5</v>
      </c>
      <c r="E315" s="1" t="s">
        <v>6</v>
      </c>
      <c r="F315" s="4">
        <v>43902</v>
      </c>
      <c r="G315" s="3">
        <v>9500</v>
      </c>
      <c r="H315" t="s">
        <v>571</v>
      </c>
    </row>
    <row r="316" spans="1:8" ht="15.75" x14ac:dyDescent="0.3">
      <c r="A316" s="1" t="s">
        <v>306</v>
      </c>
      <c r="B316" s="1" t="s">
        <v>829</v>
      </c>
      <c r="C316">
        <v>38</v>
      </c>
      <c r="D316" s="1" t="s">
        <v>5</v>
      </c>
      <c r="E316" s="1" t="s">
        <v>6</v>
      </c>
      <c r="F316" s="2">
        <v>37735</v>
      </c>
      <c r="G316" s="3">
        <v>2368.6366242868098</v>
      </c>
    </row>
    <row r="317" spans="1:8" ht="15.75" x14ac:dyDescent="0.3">
      <c r="A317" s="1" t="s">
        <v>307</v>
      </c>
      <c r="B317" s="1" t="s">
        <v>830</v>
      </c>
      <c r="D317" s="1" t="s">
        <v>5</v>
      </c>
      <c r="E317" s="1" t="s">
        <v>6</v>
      </c>
      <c r="F317" s="2">
        <v>45374</v>
      </c>
      <c r="G317" s="3">
        <v>321.13619824797001</v>
      </c>
      <c r="H317" t="s">
        <v>569</v>
      </c>
    </row>
    <row r="318" spans="1:8" ht="15.75" x14ac:dyDescent="0.3">
      <c r="A318" s="1" t="s">
        <v>308</v>
      </c>
      <c r="B318" s="1" t="s">
        <v>831</v>
      </c>
      <c r="C318" t="s">
        <v>563</v>
      </c>
      <c r="D318" s="1" t="s">
        <v>565</v>
      </c>
      <c r="E318" s="1" t="s">
        <v>189</v>
      </c>
      <c r="F318" s="2">
        <v>45410</v>
      </c>
      <c r="G318" s="3">
        <v>656.41320432561895</v>
      </c>
      <c r="H318" t="s">
        <v>569</v>
      </c>
    </row>
    <row r="319" spans="1:8" ht="15.75" x14ac:dyDescent="0.3">
      <c r="A319" s="1" t="s">
        <v>309</v>
      </c>
      <c r="B319" s="1" t="s">
        <v>832</v>
      </c>
      <c r="C319" t="s">
        <v>563</v>
      </c>
      <c r="D319" s="1" t="s">
        <v>8</v>
      </c>
      <c r="E319" s="1" t="s">
        <v>566</v>
      </c>
      <c r="F319" s="2">
        <v>45141</v>
      </c>
      <c r="G319" s="3">
        <v>1500</v>
      </c>
      <c r="H319" t="s">
        <v>568</v>
      </c>
    </row>
    <row r="320" spans="1:8" ht="15.75" x14ac:dyDescent="0.3">
      <c r="A320" s="1" t="s">
        <v>310</v>
      </c>
      <c r="B320" s="1" t="s">
        <v>833</v>
      </c>
      <c r="C320">
        <v>25</v>
      </c>
      <c r="D320" s="1" t="s">
        <v>5</v>
      </c>
      <c r="E320" s="1" t="s">
        <v>566</v>
      </c>
      <c r="F320" s="2">
        <v>42559</v>
      </c>
      <c r="G320" s="3">
        <v>1737.93385616602</v>
      </c>
      <c r="H320" t="s">
        <v>568</v>
      </c>
    </row>
    <row r="321" spans="1:8" ht="15.75" x14ac:dyDescent="0.3">
      <c r="A321" s="1" t="s">
        <v>311</v>
      </c>
      <c r="B321" s="1" t="s">
        <v>834</v>
      </c>
      <c r="C321" t="s">
        <v>563</v>
      </c>
      <c r="D321" s="1" t="s">
        <v>5</v>
      </c>
      <c r="E321" s="1" t="s">
        <v>566</v>
      </c>
      <c r="F321" s="4">
        <v>44037</v>
      </c>
      <c r="G321" s="3">
        <v>8477.6607156913797</v>
      </c>
      <c r="H321" t="s">
        <v>569</v>
      </c>
    </row>
    <row r="322" spans="1:8" ht="15.75" x14ac:dyDescent="0.3">
      <c r="A322" s="1" t="s">
        <v>312</v>
      </c>
      <c r="B322" s="1" t="s">
        <v>835</v>
      </c>
      <c r="C322" t="s">
        <v>563</v>
      </c>
      <c r="D322" s="1" t="s">
        <v>564</v>
      </c>
      <c r="E322" s="1" t="s">
        <v>6</v>
      </c>
      <c r="F322" s="4">
        <v>43415</v>
      </c>
      <c r="G322" s="3">
        <v>1500</v>
      </c>
    </row>
    <row r="323" spans="1:8" ht="15.75" x14ac:dyDescent="0.3">
      <c r="A323" s="1" t="s">
        <v>313</v>
      </c>
      <c r="B323" s="1" t="s">
        <v>836</v>
      </c>
      <c r="D323" s="1" t="s">
        <v>70</v>
      </c>
      <c r="E323" s="1" t="s">
        <v>566</v>
      </c>
      <c r="F323" s="2">
        <v>42450</v>
      </c>
      <c r="G323" s="3">
        <v>144.61121434189499</v>
      </c>
    </row>
    <row r="324" spans="1:8" ht="15.75" x14ac:dyDescent="0.3">
      <c r="A324" s="1" t="s">
        <v>314</v>
      </c>
      <c r="B324" s="1" t="s">
        <v>837</v>
      </c>
      <c r="C324">
        <v>25</v>
      </c>
      <c r="D324" s="1" t="s">
        <v>565</v>
      </c>
      <c r="E324" s="1" t="s">
        <v>189</v>
      </c>
      <c r="F324" s="4">
        <v>44316</v>
      </c>
      <c r="G324" s="3"/>
    </row>
    <row r="325" spans="1:8" ht="15.75" x14ac:dyDescent="0.3">
      <c r="A325" s="1" t="s">
        <v>315</v>
      </c>
      <c r="B325" s="1" t="s">
        <v>838</v>
      </c>
      <c r="D325" s="1" t="s">
        <v>5</v>
      </c>
      <c r="E325" s="1" t="s">
        <v>189</v>
      </c>
      <c r="F325" s="2">
        <v>41176</v>
      </c>
      <c r="G325" s="3">
        <v>6540</v>
      </c>
      <c r="H325" t="s">
        <v>568</v>
      </c>
    </row>
    <row r="326" spans="1:8" ht="15.75" x14ac:dyDescent="0.3">
      <c r="A326" s="1" t="s">
        <v>316</v>
      </c>
      <c r="B326" s="1" t="s">
        <v>839</v>
      </c>
      <c r="D326" s="1" t="s">
        <v>564</v>
      </c>
      <c r="E326" s="1" t="s">
        <v>6</v>
      </c>
      <c r="F326" s="2">
        <v>41512</v>
      </c>
      <c r="G326" s="3">
        <v>120.62753324200899</v>
      </c>
    </row>
    <row r="327" spans="1:8" ht="15.75" x14ac:dyDescent="0.3">
      <c r="A327" s="1" t="s">
        <v>317</v>
      </c>
      <c r="B327" s="1" t="s">
        <v>840</v>
      </c>
      <c r="C327">
        <v>36</v>
      </c>
      <c r="D327" s="1" t="s">
        <v>564</v>
      </c>
      <c r="E327" s="1" t="s">
        <v>189</v>
      </c>
      <c r="F327" s="4">
        <v>44033</v>
      </c>
      <c r="G327" s="3">
        <v>1500</v>
      </c>
    </row>
    <row r="328" spans="1:8" ht="15.75" x14ac:dyDescent="0.3">
      <c r="A328" s="1" t="s">
        <v>318</v>
      </c>
      <c r="B328" s="1" t="s">
        <v>841</v>
      </c>
      <c r="C328">
        <v>50</v>
      </c>
      <c r="D328" s="1" t="s">
        <v>5</v>
      </c>
      <c r="E328" s="1" t="s">
        <v>189</v>
      </c>
      <c r="F328" s="4">
        <v>43902</v>
      </c>
      <c r="G328" s="3">
        <v>9500</v>
      </c>
    </row>
    <row r="329" spans="1:8" ht="15.75" x14ac:dyDescent="0.3">
      <c r="A329" s="1" t="s">
        <v>319</v>
      </c>
      <c r="B329" s="1" t="s">
        <v>842</v>
      </c>
      <c r="C329" t="s">
        <v>563</v>
      </c>
      <c r="D329" s="1" t="s">
        <v>564</v>
      </c>
      <c r="E329" s="1" t="s">
        <v>6</v>
      </c>
      <c r="F329" s="2">
        <v>37445</v>
      </c>
      <c r="G329" s="3">
        <v>95000</v>
      </c>
      <c r="H329" t="s">
        <v>568</v>
      </c>
    </row>
    <row r="330" spans="1:8" ht="15.75" x14ac:dyDescent="0.3">
      <c r="A330" s="1" t="s">
        <v>320</v>
      </c>
      <c r="B330" s="1" t="s">
        <v>843</v>
      </c>
      <c r="C330" t="s">
        <v>563</v>
      </c>
      <c r="D330" s="1" t="s">
        <v>5</v>
      </c>
      <c r="E330" s="1" t="s">
        <v>189</v>
      </c>
      <c r="F330" s="2">
        <v>45482</v>
      </c>
      <c r="G330" s="3">
        <v>9500</v>
      </c>
      <c r="H330" t="s">
        <v>571</v>
      </c>
    </row>
    <row r="331" spans="1:8" ht="15.75" x14ac:dyDescent="0.3">
      <c r="A331" s="1" t="s">
        <v>321</v>
      </c>
      <c r="B331" s="1" t="s">
        <v>844</v>
      </c>
      <c r="C331">
        <v>45</v>
      </c>
      <c r="D331" s="1" t="s">
        <v>5</v>
      </c>
      <c r="E331" s="1" t="s">
        <v>6</v>
      </c>
      <c r="F331" s="2" t="s">
        <v>529</v>
      </c>
      <c r="G331" s="3">
        <v>8786.5886832576198</v>
      </c>
    </row>
    <row r="332" spans="1:8" ht="15.75" x14ac:dyDescent="0.3">
      <c r="A332" s="1" t="s">
        <v>322</v>
      </c>
      <c r="B332" s="1" t="s">
        <v>845</v>
      </c>
      <c r="C332" t="s">
        <v>563</v>
      </c>
      <c r="D332" s="1" t="s">
        <v>565</v>
      </c>
      <c r="E332" s="1" t="s">
        <v>6</v>
      </c>
      <c r="F332" s="4">
        <v>43665</v>
      </c>
      <c r="G332" s="3">
        <v>56000</v>
      </c>
    </row>
    <row r="333" spans="1:8" ht="15.75" x14ac:dyDescent="0.3">
      <c r="A333" s="1" t="s">
        <v>323</v>
      </c>
      <c r="B333" s="1" t="s">
        <v>846</v>
      </c>
      <c r="C333" t="s">
        <v>563</v>
      </c>
      <c r="D333" s="1" t="s">
        <v>8</v>
      </c>
      <c r="E333" s="1" t="s">
        <v>6</v>
      </c>
      <c r="F333" s="2" t="s">
        <v>530</v>
      </c>
      <c r="G333" s="3">
        <v>4211.7216071495504</v>
      </c>
      <c r="H333" t="s">
        <v>569</v>
      </c>
    </row>
    <row r="334" spans="1:8" ht="15.75" x14ac:dyDescent="0.3">
      <c r="A334" s="1" t="s">
        <v>324</v>
      </c>
      <c r="B334" s="1" t="s">
        <v>847</v>
      </c>
      <c r="C334">
        <v>69</v>
      </c>
      <c r="D334" s="1" t="s">
        <v>564</v>
      </c>
      <c r="E334" s="1" t="s">
        <v>189</v>
      </c>
      <c r="F334" s="2">
        <v>44828</v>
      </c>
      <c r="G334" s="3">
        <v>9500</v>
      </c>
      <c r="H334" t="s">
        <v>569</v>
      </c>
    </row>
    <row r="335" spans="1:8" ht="15.75" x14ac:dyDescent="0.3">
      <c r="A335" s="1" t="s">
        <v>325</v>
      </c>
      <c r="B335" s="1" t="s">
        <v>848</v>
      </c>
      <c r="C335">
        <v>22</v>
      </c>
      <c r="D335" s="1" t="s">
        <v>5</v>
      </c>
      <c r="E335" s="1" t="s">
        <v>6</v>
      </c>
      <c r="F335" s="4">
        <v>44037</v>
      </c>
      <c r="G335" s="3">
        <v>773.42060851468204</v>
      </c>
      <c r="H335" t="s">
        <v>568</v>
      </c>
    </row>
    <row r="336" spans="1:8" ht="15.75" x14ac:dyDescent="0.3">
      <c r="A336" s="1" t="s">
        <v>326</v>
      </c>
      <c r="B336" s="1" t="s">
        <v>849</v>
      </c>
      <c r="D336" s="1" t="s">
        <v>564</v>
      </c>
      <c r="E336" s="1" t="s">
        <v>566</v>
      </c>
      <c r="F336" s="2">
        <v>45478</v>
      </c>
      <c r="G336" s="3">
        <v>7379.4751912537204</v>
      </c>
      <c r="H336" t="s">
        <v>568</v>
      </c>
    </row>
    <row r="337" spans="1:8" ht="15.75" x14ac:dyDescent="0.3">
      <c r="A337" s="1" t="s">
        <v>327</v>
      </c>
      <c r="B337" s="1" t="s">
        <v>850</v>
      </c>
      <c r="D337" s="1" t="s">
        <v>565</v>
      </c>
      <c r="E337" s="1" t="s">
        <v>189</v>
      </c>
      <c r="F337" s="2" t="s">
        <v>531</v>
      </c>
      <c r="G337" s="3">
        <v>9500</v>
      </c>
      <c r="H337" t="s">
        <v>570</v>
      </c>
    </row>
    <row r="338" spans="1:8" ht="15.75" x14ac:dyDescent="0.3">
      <c r="A338" s="1" t="s">
        <v>328</v>
      </c>
      <c r="B338" s="1" t="s">
        <v>851</v>
      </c>
      <c r="D338" s="1" t="s">
        <v>8</v>
      </c>
      <c r="E338" s="1" t="s">
        <v>6</v>
      </c>
      <c r="F338" s="2">
        <v>45489</v>
      </c>
      <c r="G338" s="3">
        <v>4792.56563771321</v>
      </c>
      <c r="H338" t="s">
        <v>570</v>
      </c>
    </row>
    <row r="339" spans="1:8" ht="15.75" x14ac:dyDescent="0.3">
      <c r="A339" s="1" t="s">
        <v>329</v>
      </c>
      <c r="B339" s="1" t="s">
        <v>852</v>
      </c>
      <c r="C339" t="s">
        <v>563</v>
      </c>
      <c r="D339" s="1" t="s">
        <v>564</v>
      </c>
      <c r="E339" s="1" t="s">
        <v>189</v>
      </c>
      <c r="F339" s="2">
        <v>45345</v>
      </c>
      <c r="G339" s="3">
        <v>9500</v>
      </c>
      <c r="H339" t="s">
        <v>571</v>
      </c>
    </row>
    <row r="340" spans="1:8" ht="15.75" x14ac:dyDescent="0.3">
      <c r="A340" s="1" t="s">
        <v>330</v>
      </c>
      <c r="B340" s="1" t="s">
        <v>853</v>
      </c>
      <c r="D340" s="1" t="s">
        <v>564</v>
      </c>
      <c r="E340" s="1" t="s">
        <v>6</v>
      </c>
      <c r="F340" s="2">
        <v>45456</v>
      </c>
      <c r="G340" s="3">
        <v>1678.0982450407901</v>
      </c>
      <c r="H340" t="s">
        <v>570</v>
      </c>
    </row>
    <row r="341" spans="1:8" ht="15.75" x14ac:dyDescent="0.3">
      <c r="A341" s="1" t="s">
        <v>331</v>
      </c>
      <c r="B341" s="1" t="s">
        <v>854</v>
      </c>
      <c r="D341" s="1" t="s">
        <v>565</v>
      </c>
      <c r="E341" s="1" t="s">
        <v>6</v>
      </c>
      <c r="F341" s="4">
        <v>44450</v>
      </c>
      <c r="G341" s="3">
        <v>2282.4949048252702</v>
      </c>
      <c r="H341" t="s">
        <v>571</v>
      </c>
    </row>
    <row r="342" spans="1:8" ht="15.75" x14ac:dyDescent="0.3">
      <c r="A342" s="1" t="s">
        <v>332</v>
      </c>
      <c r="B342" s="1" t="s">
        <v>855</v>
      </c>
      <c r="C342" t="s">
        <v>563</v>
      </c>
      <c r="D342" s="1" t="s">
        <v>8</v>
      </c>
      <c r="E342" s="1" t="s">
        <v>6</v>
      </c>
      <c r="F342" s="2" t="s">
        <v>532</v>
      </c>
      <c r="G342" s="3">
        <v>1500</v>
      </c>
    </row>
    <row r="343" spans="1:8" ht="15.75" x14ac:dyDescent="0.3">
      <c r="A343" s="1" t="s">
        <v>333</v>
      </c>
      <c r="B343" s="1" t="s">
        <v>856</v>
      </c>
      <c r="C343" t="s">
        <v>563</v>
      </c>
      <c r="D343" s="1" t="s">
        <v>5</v>
      </c>
      <c r="E343" s="1" t="s">
        <v>6</v>
      </c>
      <c r="F343" s="4">
        <v>43599</v>
      </c>
      <c r="G343" s="3">
        <v>7300</v>
      </c>
      <c r="H343" t="s">
        <v>568</v>
      </c>
    </row>
    <row r="344" spans="1:8" ht="15.75" x14ac:dyDescent="0.3">
      <c r="A344" s="1" t="s">
        <v>334</v>
      </c>
      <c r="B344" s="1" t="s">
        <v>857</v>
      </c>
      <c r="C344" t="s">
        <v>563</v>
      </c>
      <c r="D344" s="1" t="s">
        <v>70</v>
      </c>
      <c r="E344" s="1" t="s">
        <v>189</v>
      </c>
      <c r="F344" s="2">
        <v>34791</v>
      </c>
      <c r="G344" s="3">
        <v>585.70548688299095</v>
      </c>
    </row>
    <row r="345" spans="1:8" ht="15.75" x14ac:dyDescent="0.3">
      <c r="A345" s="1" t="s">
        <v>334</v>
      </c>
      <c r="B345" s="1" t="s">
        <v>857</v>
      </c>
      <c r="D345" s="1" t="s">
        <v>8</v>
      </c>
      <c r="E345" s="1" t="s">
        <v>6</v>
      </c>
      <c r="F345" s="2">
        <v>34791</v>
      </c>
      <c r="G345" s="3">
        <v>585.70548688299095</v>
      </c>
      <c r="H345" t="s">
        <v>568</v>
      </c>
    </row>
    <row r="346" spans="1:8" ht="15.75" x14ac:dyDescent="0.3">
      <c r="A346" s="1" t="s">
        <v>335</v>
      </c>
      <c r="B346" s="1" t="s">
        <v>858</v>
      </c>
      <c r="D346" s="1" t="s">
        <v>8</v>
      </c>
      <c r="E346" s="1" t="s">
        <v>189</v>
      </c>
      <c r="F346" s="2">
        <v>43809</v>
      </c>
      <c r="G346" s="3">
        <v>1000</v>
      </c>
    </row>
    <row r="347" spans="1:8" ht="15.75" x14ac:dyDescent="0.3">
      <c r="A347" s="1" t="s">
        <v>335</v>
      </c>
      <c r="B347" s="1" t="s">
        <v>858</v>
      </c>
      <c r="C347">
        <v>35</v>
      </c>
      <c r="D347" s="1" t="s">
        <v>8</v>
      </c>
      <c r="E347" s="1" t="s">
        <v>189</v>
      </c>
      <c r="F347" s="2">
        <v>43809</v>
      </c>
      <c r="G347" s="3"/>
      <c r="H347" t="s">
        <v>569</v>
      </c>
    </row>
    <row r="348" spans="1:8" ht="15.75" x14ac:dyDescent="0.3">
      <c r="A348" s="1" t="s">
        <v>336</v>
      </c>
      <c r="B348" s="1" t="s">
        <v>859</v>
      </c>
      <c r="D348" s="1" t="s">
        <v>5</v>
      </c>
      <c r="E348" s="1" t="s">
        <v>6</v>
      </c>
      <c r="F348" s="2">
        <v>36870</v>
      </c>
      <c r="G348" s="3">
        <v>1721.9062905217099</v>
      </c>
    </row>
    <row r="349" spans="1:8" ht="15.75" x14ac:dyDescent="0.3">
      <c r="A349" s="1" t="s">
        <v>337</v>
      </c>
      <c r="B349" s="1" t="s">
        <v>860</v>
      </c>
      <c r="D349" s="1" t="s">
        <v>70</v>
      </c>
      <c r="E349" s="1" t="s">
        <v>189</v>
      </c>
      <c r="F349" s="2">
        <v>45447</v>
      </c>
      <c r="G349" s="3">
        <v>7600</v>
      </c>
      <c r="H349" t="s">
        <v>568</v>
      </c>
    </row>
    <row r="350" spans="1:8" ht="15.75" x14ac:dyDescent="0.3">
      <c r="A350" s="1" t="s">
        <v>338</v>
      </c>
      <c r="B350" s="1" t="s">
        <v>861</v>
      </c>
      <c r="C350" t="s">
        <v>563</v>
      </c>
      <c r="D350" s="1" t="s">
        <v>5</v>
      </c>
      <c r="E350" s="1" t="s">
        <v>189</v>
      </c>
      <c r="F350" s="2">
        <v>45384</v>
      </c>
      <c r="G350" s="3">
        <v>851.98983398164103</v>
      </c>
    </row>
    <row r="351" spans="1:8" ht="15.75" x14ac:dyDescent="0.3">
      <c r="A351" s="1" t="s">
        <v>339</v>
      </c>
      <c r="B351" s="1" t="s">
        <v>862</v>
      </c>
      <c r="C351" t="s">
        <v>563</v>
      </c>
      <c r="D351" s="1" t="s">
        <v>564</v>
      </c>
      <c r="E351" s="1" t="s">
        <v>189</v>
      </c>
      <c r="F351" s="2">
        <v>37713</v>
      </c>
      <c r="G351" s="3">
        <v>220.573894709874</v>
      </c>
      <c r="H351" t="s">
        <v>568</v>
      </c>
    </row>
    <row r="352" spans="1:8" ht="15.75" x14ac:dyDescent="0.3">
      <c r="A352" s="1" t="s">
        <v>340</v>
      </c>
      <c r="B352" s="1" t="s">
        <v>863</v>
      </c>
      <c r="D352" s="1" t="s">
        <v>564</v>
      </c>
      <c r="E352" s="1" t="s">
        <v>6</v>
      </c>
      <c r="F352" s="4">
        <v>44450</v>
      </c>
      <c r="G352" s="3">
        <v>8746.9900549941704</v>
      </c>
    </row>
    <row r="353" spans="1:8" ht="15.75" x14ac:dyDescent="0.3">
      <c r="A353" s="1" t="s">
        <v>341</v>
      </c>
      <c r="B353" s="1" t="s">
        <v>864</v>
      </c>
      <c r="C353">
        <v>37</v>
      </c>
      <c r="D353" s="1" t="s">
        <v>70</v>
      </c>
      <c r="E353" s="1" t="s">
        <v>6</v>
      </c>
      <c r="F353" s="2">
        <v>43804</v>
      </c>
      <c r="G353" s="3">
        <v>9500</v>
      </c>
      <c r="H353" t="s">
        <v>570</v>
      </c>
    </row>
    <row r="354" spans="1:8" ht="15.75" x14ac:dyDescent="0.3">
      <c r="A354" s="1" t="s">
        <v>342</v>
      </c>
      <c r="B354" s="1" t="s">
        <v>865</v>
      </c>
      <c r="D354" s="1" t="s">
        <v>565</v>
      </c>
      <c r="E354" s="1" t="s">
        <v>6</v>
      </c>
      <c r="F354" s="2">
        <v>41338</v>
      </c>
      <c r="G354" s="3">
        <v>9500</v>
      </c>
      <c r="H354" t="s">
        <v>570</v>
      </c>
    </row>
    <row r="355" spans="1:8" ht="15.75" x14ac:dyDescent="0.3">
      <c r="A355" s="1" t="s">
        <v>343</v>
      </c>
      <c r="B355" s="1" t="s">
        <v>866</v>
      </c>
      <c r="C355" t="s">
        <v>563</v>
      </c>
      <c r="D355" s="1" t="s">
        <v>564</v>
      </c>
      <c r="E355" s="1" t="s">
        <v>6</v>
      </c>
      <c r="F355" s="2">
        <v>36908</v>
      </c>
      <c r="G355" s="3">
        <v>669.37549034357301</v>
      </c>
      <c r="H355" t="s">
        <v>569</v>
      </c>
    </row>
    <row r="356" spans="1:8" ht="15.75" x14ac:dyDescent="0.3">
      <c r="A356" s="1" t="s">
        <v>344</v>
      </c>
      <c r="B356" s="1" t="s">
        <v>867</v>
      </c>
      <c r="C356">
        <v>52</v>
      </c>
      <c r="D356" s="1" t="s">
        <v>565</v>
      </c>
      <c r="E356" s="1" t="s">
        <v>189</v>
      </c>
      <c r="F356" s="2" t="s">
        <v>533</v>
      </c>
      <c r="G356" s="3">
        <v>951.178865328548</v>
      </c>
    </row>
    <row r="357" spans="1:8" ht="15.75" x14ac:dyDescent="0.3">
      <c r="A357" s="1" t="s">
        <v>345</v>
      </c>
      <c r="B357" s="1" t="s">
        <v>868</v>
      </c>
      <c r="C357">
        <v>21</v>
      </c>
      <c r="D357" s="1" t="s">
        <v>564</v>
      </c>
      <c r="E357" s="1" t="s">
        <v>6</v>
      </c>
      <c r="F357" s="2" t="s">
        <v>534</v>
      </c>
      <c r="G357" s="3">
        <v>1227.0815730372401</v>
      </c>
      <c r="H357" t="s">
        <v>568</v>
      </c>
    </row>
    <row r="358" spans="1:8" ht="15.75" x14ac:dyDescent="0.3">
      <c r="A358" s="1" t="s">
        <v>346</v>
      </c>
      <c r="B358" s="1" t="s">
        <v>869</v>
      </c>
      <c r="D358" s="1" t="s">
        <v>565</v>
      </c>
      <c r="E358" s="1" t="s">
        <v>6</v>
      </c>
      <c r="F358" s="2" t="s">
        <v>535</v>
      </c>
      <c r="G358" s="3">
        <v>9500</v>
      </c>
      <c r="H358" t="s">
        <v>569</v>
      </c>
    </row>
    <row r="359" spans="1:8" ht="15.75" x14ac:dyDescent="0.3">
      <c r="A359" s="1" t="s">
        <v>346</v>
      </c>
      <c r="B359" s="1" t="s">
        <v>869</v>
      </c>
      <c r="D359" s="1" t="s">
        <v>565</v>
      </c>
      <c r="E359" s="1" t="s">
        <v>6</v>
      </c>
      <c r="F359" s="2" t="s">
        <v>535</v>
      </c>
      <c r="G359" s="3">
        <v>9500</v>
      </c>
      <c r="H359" t="s">
        <v>569</v>
      </c>
    </row>
    <row r="360" spans="1:8" ht="15.75" x14ac:dyDescent="0.3">
      <c r="A360" s="1" t="s">
        <v>347</v>
      </c>
      <c r="B360" s="1" t="s">
        <v>870</v>
      </c>
      <c r="C360">
        <v>60</v>
      </c>
      <c r="D360" s="1" t="s">
        <v>565</v>
      </c>
      <c r="E360" s="1" t="s">
        <v>189</v>
      </c>
      <c r="F360" s="2" t="s">
        <v>536</v>
      </c>
      <c r="G360" s="3">
        <v>9500</v>
      </c>
      <c r="H360" t="s">
        <v>570</v>
      </c>
    </row>
    <row r="361" spans="1:8" ht="15.75" x14ac:dyDescent="0.3">
      <c r="A361" s="1" t="s">
        <v>347</v>
      </c>
      <c r="B361" s="1" t="s">
        <v>870</v>
      </c>
      <c r="C361" t="s">
        <v>563</v>
      </c>
      <c r="D361" s="1" t="s">
        <v>565</v>
      </c>
      <c r="E361" s="1" t="s">
        <v>189</v>
      </c>
      <c r="F361" s="2" t="s">
        <v>536</v>
      </c>
      <c r="G361" s="3">
        <v>9500</v>
      </c>
      <c r="H361" t="s">
        <v>570</v>
      </c>
    </row>
    <row r="362" spans="1:8" ht="15.75" x14ac:dyDescent="0.3">
      <c r="A362" s="1" t="s">
        <v>348</v>
      </c>
      <c r="B362" s="1" t="s">
        <v>871</v>
      </c>
      <c r="C362">
        <v>24</v>
      </c>
      <c r="D362" s="1" t="s">
        <v>565</v>
      </c>
      <c r="E362" s="1" t="s">
        <v>6</v>
      </c>
      <c r="F362" s="2">
        <v>45537</v>
      </c>
      <c r="G362" s="3">
        <v>151.15038470408601</v>
      </c>
      <c r="H362" t="s">
        <v>569</v>
      </c>
    </row>
    <row r="363" spans="1:8" ht="15.75" x14ac:dyDescent="0.3">
      <c r="A363" s="1" t="s">
        <v>349</v>
      </c>
      <c r="B363" s="1" t="s">
        <v>872</v>
      </c>
      <c r="D363" s="1" t="s">
        <v>564</v>
      </c>
      <c r="E363" s="1" t="s">
        <v>189</v>
      </c>
      <c r="F363" s="2">
        <v>45451</v>
      </c>
      <c r="G363" s="3">
        <v>1500</v>
      </c>
    </row>
    <row r="364" spans="1:8" ht="15.75" x14ac:dyDescent="0.3">
      <c r="A364" s="1" t="s">
        <v>350</v>
      </c>
      <c r="B364" s="1" t="s">
        <v>873</v>
      </c>
      <c r="D364" s="1" t="s">
        <v>70</v>
      </c>
      <c r="E364" s="1" t="s">
        <v>6</v>
      </c>
      <c r="F364" s="4">
        <v>43490</v>
      </c>
      <c r="G364" s="3">
        <v>9500</v>
      </c>
    </row>
    <row r="365" spans="1:8" ht="15.75" x14ac:dyDescent="0.3">
      <c r="A365" s="1" t="s">
        <v>351</v>
      </c>
      <c r="B365" s="1" t="s">
        <v>874</v>
      </c>
      <c r="C365">
        <v>23</v>
      </c>
      <c r="D365" s="1" t="s">
        <v>5</v>
      </c>
      <c r="E365" s="1" t="s">
        <v>6</v>
      </c>
      <c r="F365" s="2">
        <v>36050</v>
      </c>
      <c r="G365" s="3">
        <v>9500</v>
      </c>
      <c r="H365" t="s">
        <v>569</v>
      </c>
    </row>
    <row r="366" spans="1:8" ht="15.75" x14ac:dyDescent="0.3">
      <c r="A366" s="1" t="s">
        <v>352</v>
      </c>
      <c r="B366" s="1" t="s">
        <v>875</v>
      </c>
      <c r="C366" t="s">
        <v>563</v>
      </c>
      <c r="D366" s="1" t="s">
        <v>565</v>
      </c>
      <c r="E366" s="1" t="s">
        <v>189</v>
      </c>
      <c r="F366" s="2">
        <v>41726</v>
      </c>
      <c r="G366" s="3">
        <v>9500</v>
      </c>
      <c r="H366" t="s">
        <v>568</v>
      </c>
    </row>
    <row r="367" spans="1:8" ht="15.75" x14ac:dyDescent="0.3">
      <c r="A367" s="1" t="s">
        <v>353</v>
      </c>
      <c r="B367" s="1" t="s">
        <v>876</v>
      </c>
      <c r="D367" s="1" t="s">
        <v>565</v>
      </c>
      <c r="E367" s="1" t="s">
        <v>6</v>
      </c>
      <c r="F367" s="2" t="s">
        <v>537</v>
      </c>
      <c r="G367" s="3">
        <v>1500</v>
      </c>
    </row>
    <row r="368" spans="1:8" ht="15.75" x14ac:dyDescent="0.3">
      <c r="A368" s="1" t="s">
        <v>354</v>
      </c>
      <c r="B368" s="1" t="s">
        <v>877</v>
      </c>
      <c r="C368">
        <v>21</v>
      </c>
      <c r="D368" s="1" t="s">
        <v>564</v>
      </c>
      <c r="E368" s="1" t="s">
        <v>566</v>
      </c>
      <c r="F368" s="2">
        <v>42266</v>
      </c>
      <c r="G368" s="3">
        <v>475.75609455991997</v>
      </c>
    </row>
    <row r="369" spans="1:8" ht="15.75" x14ac:dyDescent="0.3">
      <c r="A369" s="1" t="s">
        <v>355</v>
      </c>
      <c r="B369" s="1" t="s">
        <v>878</v>
      </c>
      <c r="C369" t="s">
        <v>563</v>
      </c>
      <c r="D369" s="1" t="s">
        <v>5</v>
      </c>
      <c r="E369" s="1" t="s">
        <v>189</v>
      </c>
      <c r="F369" s="4">
        <v>43902</v>
      </c>
      <c r="G369" s="3">
        <v>6190.0231423895402</v>
      </c>
      <c r="H369" t="s">
        <v>568</v>
      </c>
    </row>
    <row r="370" spans="1:8" ht="15.75" x14ac:dyDescent="0.3">
      <c r="A370" s="1" t="s">
        <v>356</v>
      </c>
      <c r="B370" s="1" t="s">
        <v>879</v>
      </c>
      <c r="C370">
        <v>28</v>
      </c>
      <c r="D370" s="1" t="s">
        <v>5</v>
      </c>
      <c r="E370" s="1" t="s">
        <v>6</v>
      </c>
      <c r="F370" s="2">
        <v>45456</v>
      </c>
      <c r="G370" s="3">
        <v>2724.84817491801</v>
      </c>
      <c r="H370" t="s">
        <v>569</v>
      </c>
    </row>
    <row r="371" spans="1:8" ht="15.75" x14ac:dyDescent="0.3">
      <c r="A371" s="1" t="s">
        <v>357</v>
      </c>
      <c r="B371" s="1" t="s">
        <v>880</v>
      </c>
      <c r="D371" s="1" t="s">
        <v>565</v>
      </c>
      <c r="E371" s="1" t="s">
        <v>6</v>
      </c>
      <c r="F371" s="2">
        <v>37362</v>
      </c>
      <c r="G371" s="3">
        <v>9370</v>
      </c>
      <c r="H371" t="s">
        <v>570</v>
      </c>
    </row>
    <row r="372" spans="1:8" ht="15.75" x14ac:dyDescent="0.3">
      <c r="A372" s="1" t="s">
        <v>358</v>
      </c>
      <c r="B372" s="1" t="s">
        <v>881</v>
      </c>
      <c r="D372" s="1" t="s">
        <v>565</v>
      </c>
      <c r="E372" s="1" t="s">
        <v>189</v>
      </c>
      <c r="F372" s="2">
        <v>37397</v>
      </c>
      <c r="G372" s="3">
        <v>36.684701848330697</v>
      </c>
      <c r="H372" t="s">
        <v>569</v>
      </c>
    </row>
    <row r="373" spans="1:8" ht="15.75" x14ac:dyDescent="0.3">
      <c r="A373" s="1" t="s">
        <v>359</v>
      </c>
      <c r="B373" s="1" t="s">
        <v>882</v>
      </c>
      <c r="C373">
        <v>67</v>
      </c>
      <c r="D373" s="1" t="s">
        <v>565</v>
      </c>
      <c r="E373" s="1" t="s">
        <v>6</v>
      </c>
      <c r="F373" s="2" t="s">
        <v>538</v>
      </c>
      <c r="G373" s="3">
        <v>1500</v>
      </c>
      <c r="H373" t="s">
        <v>569</v>
      </c>
    </row>
    <row r="374" spans="1:8" ht="15.75" x14ac:dyDescent="0.3">
      <c r="A374" s="1" t="s">
        <v>360</v>
      </c>
      <c r="B374" s="1" t="s">
        <v>883</v>
      </c>
      <c r="D374" s="1" t="s">
        <v>564</v>
      </c>
      <c r="E374" s="1" t="s">
        <v>566</v>
      </c>
      <c r="F374" s="2">
        <v>40241</v>
      </c>
      <c r="G374" s="3">
        <v>6465.7289434037602</v>
      </c>
    </row>
    <row r="375" spans="1:8" ht="15.75" x14ac:dyDescent="0.3">
      <c r="A375" s="1" t="s">
        <v>361</v>
      </c>
      <c r="B375" s="1" t="s">
        <v>884</v>
      </c>
      <c r="D375" s="1" t="s">
        <v>8</v>
      </c>
      <c r="E375" s="1" t="s">
        <v>6</v>
      </c>
      <c r="F375" s="2">
        <v>37936</v>
      </c>
      <c r="G375" s="3">
        <v>9500</v>
      </c>
      <c r="H375" t="s">
        <v>570</v>
      </c>
    </row>
    <row r="376" spans="1:8" ht="15.75" x14ac:dyDescent="0.3">
      <c r="A376" s="1" t="s">
        <v>362</v>
      </c>
      <c r="B376" s="1" t="s">
        <v>885</v>
      </c>
      <c r="C376">
        <v>29</v>
      </c>
      <c r="D376" s="1" t="s">
        <v>565</v>
      </c>
      <c r="E376" s="1" t="s">
        <v>189</v>
      </c>
      <c r="F376" s="2">
        <v>45165</v>
      </c>
      <c r="G376" s="3">
        <v>1500</v>
      </c>
      <c r="H376" t="s">
        <v>568</v>
      </c>
    </row>
    <row r="377" spans="1:8" ht="15.75" x14ac:dyDescent="0.3">
      <c r="A377" s="1" t="s">
        <v>363</v>
      </c>
      <c r="B377" s="1" t="s">
        <v>886</v>
      </c>
      <c r="C377" t="s">
        <v>563</v>
      </c>
      <c r="D377" s="1" t="s">
        <v>57</v>
      </c>
      <c r="E377" s="1" t="s">
        <v>6</v>
      </c>
      <c r="F377" s="4">
        <v>44211</v>
      </c>
      <c r="G377" s="3">
        <v>198.516375375194</v>
      </c>
      <c r="H377" t="s">
        <v>569</v>
      </c>
    </row>
    <row r="378" spans="1:8" ht="15.75" x14ac:dyDescent="0.3">
      <c r="A378" s="1" t="s">
        <v>364</v>
      </c>
      <c r="B378" s="1" t="s">
        <v>887</v>
      </c>
      <c r="C378">
        <v>30</v>
      </c>
      <c r="D378" s="1" t="s">
        <v>565</v>
      </c>
      <c r="E378" s="1" t="s">
        <v>566</v>
      </c>
      <c r="F378" s="2">
        <v>30018</v>
      </c>
      <c r="G378" s="3">
        <v>1000</v>
      </c>
      <c r="H378" t="s">
        <v>571</v>
      </c>
    </row>
    <row r="379" spans="1:8" ht="15.75" x14ac:dyDescent="0.3">
      <c r="A379" s="1" t="s">
        <v>365</v>
      </c>
      <c r="B379" s="1" t="s">
        <v>888</v>
      </c>
      <c r="C379">
        <v>45</v>
      </c>
      <c r="D379" s="1" t="s">
        <v>564</v>
      </c>
      <c r="E379" s="1" t="s">
        <v>566</v>
      </c>
      <c r="F379" s="4">
        <v>44058</v>
      </c>
      <c r="G379" s="3">
        <v>491.25198529020702</v>
      </c>
      <c r="H379" t="s">
        <v>571</v>
      </c>
    </row>
    <row r="380" spans="1:8" ht="15.75" x14ac:dyDescent="0.3">
      <c r="A380" s="1" t="s">
        <v>366</v>
      </c>
      <c r="B380" s="1" t="s">
        <v>889</v>
      </c>
      <c r="D380" s="1" t="s">
        <v>564</v>
      </c>
      <c r="E380" s="1" t="s">
        <v>566</v>
      </c>
      <c r="F380" s="2">
        <v>45135</v>
      </c>
      <c r="G380" s="3">
        <v>1500</v>
      </c>
    </row>
    <row r="381" spans="1:8" ht="15.75" x14ac:dyDescent="0.3">
      <c r="A381" s="1" t="s">
        <v>367</v>
      </c>
      <c r="B381" s="1" t="s">
        <v>890</v>
      </c>
      <c r="D381" s="1" t="s">
        <v>8</v>
      </c>
      <c r="E381" s="1" t="s">
        <v>566</v>
      </c>
      <c r="F381" s="2">
        <v>42340</v>
      </c>
      <c r="G381" s="3">
        <v>9500</v>
      </c>
      <c r="H381" t="s">
        <v>568</v>
      </c>
    </row>
    <row r="382" spans="1:8" ht="15.75" x14ac:dyDescent="0.3">
      <c r="A382" s="1" t="s">
        <v>368</v>
      </c>
      <c r="B382" s="1" t="s">
        <v>891</v>
      </c>
      <c r="C382" t="s">
        <v>563</v>
      </c>
      <c r="D382" s="1" t="s">
        <v>564</v>
      </c>
      <c r="E382" s="1" t="s">
        <v>566</v>
      </c>
      <c r="F382" s="2">
        <v>35860</v>
      </c>
      <c r="G382" s="3">
        <v>9810.3021037234394</v>
      </c>
    </row>
    <row r="383" spans="1:8" ht="15.75" x14ac:dyDescent="0.3">
      <c r="A383" s="1" t="s">
        <v>369</v>
      </c>
      <c r="B383" s="1" t="s">
        <v>892</v>
      </c>
      <c r="D383" s="1" t="s">
        <v>8</v>
      </c>
      <c r="E383" s="1" t="s">
        <v>6</v>
      </c>
      <c r="F383" s="2">
        <v>31812</v>
      </c>
      <c r="G383" s="3">
        <v>308.34884938781101</v>
      </c>
      <c r="H383" t="s">
        <v>570</v>
      </c>
    </row>
    <row r="384" spans="1:8" ht="15.75" x14ac:dyDescent="0.3">
      <c r="A384" s="1" t="s">
        <v>370</v>
      </c>
      <c r="B384" s="1" t="s">
        <v>893</v>
      </c>
      <c r="D384" s="1" t="s">
        <v>5</v>
      </c>
      <c r="E384" s="1" t="s">
        <v>6</v>
      </c>
      <c r="F384" s="2" t="s">
        <v>539</v>
      </c>
      <c r="G384" s="3">
        <v>7500</v>
      </c>
      <c r="H384" t="s">
        <v>570</v>
      </c>
    </row>
    <row r="385" spans="1:8" ht="15.75" x14ac:dyDescent="0.3">
      <c r="A385" s="1" t="s">
        <v>371</v>
      </c>
      <c r="B385" s="1" t="s">
        <v>894</v>
      </c>
      <c r="D385" s="1" t="s">
        <v>565</v>
      </c>
      <c r="E385" s="1" t="s">
        <v>6</v>
      </c>
      <c r="F385" s="4">
        <v>43490</v>
      </c>
      <c r="G385" s="3">
        <v>9500</v>
      </c>
    </row>
    <row r="386" spans="1:8" ht="15.75" x14ac:dyDescent="0.3">
      <c r="A386" s="1" t="s">
        <v>372</v>
      </c>
      <c r="B386" s="1" t="s">
        <v>895</v>
      </c>
      <c r="D386" s="1" t="s">
        <v>8</v>
      </c>
      <c r="E386" s="1" t="s">
        <v>6</v>
      </c>
      <c r="F386" s="4">
        <v>44428</v>
      </c>
      <c r="G386" s="3">
        <v>13000</v>
      </c>
    </row>
    <row r="387" spans="1:8" ht="15.75" x14ac:dyDescent="0.3">
      <c r="A387" s="1" t="s">
        <v>373</v>
      </c>
      <c r="B387" s="1" t="s">
        <v>896</v>
      </c>
      <c r="C387" t="s">
        <v>563</v>
      </c>
      <c r="D387" s="1" t="s">
        <v>564</v>
      </c>
      <c r="E387" s="1" t="s">
        <v>566</v>
      </c>
      <c r="F387" s="2">
        <v>42064</v>
      </c>
      <c r="G387" s="3">
        <v>359.97713098893701</v>
      </c>
    </row>
    <row r="388" spans="1:8" ht="15.75" x14ac:dyDescent="0.3">
      <c r="A388" s="1" t="s">
        <v>374</v>
      </c>
      <c r="B388" s="1" t="s">
        <v>897</v>
      </c>
      <c r="C388">
        <v>60</v>
      </c>
      <c r="D388" s="1" t="s">
        <v>8</v>
      </c>
      <c r="E388" s="1" t="s">
        <v>566</v>
      </c>
      <c r="F388" s="2">
        <v>42313</v>
      </c>
      <c r="G388" s="3">
        <v>2903.4006600949201</v>
      </c>
      <c r="H388" t="s">
        <v>569</v>
      </c>
    </row>
    <row r="389" spans="1:8" ht="15.75" x14ac:dyDescent="0.3">
      <c r="A389" s="1" t="s">
        <v>375</v>
      </c>
      <c r="B389" s="1" t="s">
        <v>898</v>
      </c>
      <c r="C389" t="s">
        <v>563</v>
      </c>
      <c r="D389" s="1" t="s">
        <v>5</v>
      </c>
      <c r="E389" s="1" t="s">
        <v>189</v>
      </c>
      <c r="F389" s="4">
        <v>44502</v>
      </c>
      <c r="G389" s="3"/>
    </row>
    <row r="390" spans="1:8" ht="15.75" x14ac:dyDescent="0.3">
      <c r="A390" s="1" t="s">
        <v>376</v>
      </c>
      <c r="B390" s="1" t="s">
        <v>899</v>
      </c>
      <c r="C390" t="s">
        <v>563</v>
      </c>
      <c r="D390" s="1" t="s">
        <v>565</v>
      </c>
      <c r="E390" s="1" t="s">
        <v>189</v>
      </c>
      <c r="F390" s="2" t="s">
        <v>540</v>
      </c>
      <c r="G390" s="3">
        <v>663.36226434909599</v>
      </c>
    </row>
    <row r="391" spans="1:8" ht="15.75" x14ac:dyDescent="0.3">
      <c r="A391" s="1" t="s">
        <v>377</v>
      </c>
      <c r="B391" s="1" t="s">
        <v>900</v>
      </c>
      <c r="D391" s="1" t="s">
        <v>565</v>
      </c>
      <c r="E391" s="1" t="s">
        <v>6</v>
      </c>
      <c r="F391" s="2">
        <v>43326</v>
      </c>
      <c r="G391" s="3">
        <v>6989.9171180343901</v>
      </c>
      <c r="H391" t="s">
        <v>568</v>
      </c>
    </row>
    <row r="392" spans="1:8" ht="15.75" x14ac:dyDescent="0.3">
      <c r="A392" s="1" t="s">
        <v>378</v>
      </c>
      <c r="B392" s="1" t="s">
        <v>901</v>
      </c>
      <c r="D392" s="1" t="s">
        <v>8</v>
      </c>
      <c r="E392" s="1" t="s">
        <v>6</v>
      </c>
      <c r="F392" s="2">
        <v>39121</v>
      </c>
      <c r="G392" s="3">
        <v>1500</v>
      </c>
      <c r="H392" t="s">
        <v>569</v>
      </c>
    </row>
    <row r="393" spans="1:8" ht="15.75" x14ac:dyDescent="0.3">
      <c r="A393" s="1" t="s">
        <v>379</v>
      </c>
      <c r="B393" s="1" t="s">
        <v>902</v>
      </c>
      <c r="D393" s="1" t="s">
        <v>565</v>
      </c>
      <c r="E393" s="1" t="s">
        <v>566</v>
      </c>
      <c r="F393" s="4">
        <v>44211</v>
      </c>
      <c r="G393" s="3">
        <v>430.43241699550202</v>
      </c>
      <c r="H393" t="s">
        <v>571</v>
      </c>
    </row>
    <row r="394" spans="1:8" ht="15.75" x14ac:dyDescent="0.3">
      <c r="A394" s="1" t="s">
        <v>380</v>
      </c>
      <c r="B394" s="1" t="s">
        <v>903</v>
      </c>
      <c r="C394">
        <v>24</v>
      </c>
      <c r="D394" s="1" t="s">
        <v>564</v>
      </c>
      <c r="E394" s="1" t="s">
        <v>566</v>
      </c>
      <c r="F394" s="2">
        <v>45505</v>
      </c>
      <c r="G394" s="3">
        <v>9500</v>
      </c>
      <c r="H394" t="s">
        <v>569</v>
      </c>
    </row>
    <row r="395" spans="1:8" ht="15.75" x14ac:dyDescent="0.3">
      <c r="A395" s="1" t="s">
        <v>380</v>
      </c>
      <c r="B395" s="1" t="s">
        <v>903</v>
      </c>
      <c r="D395" s="1" t="s">
        <v>564</v>
      </c>
      <c r="E395" s="1" t="s">
        <v>189</v>
      </c>
      <c r="F395" s="2">
        <v>45505</v>
      </c>
      <c r="G395" s="3">
        <v>9500</v>
      </c>
    </row>
    <row r="396" spans="1:8" ht="15.75" x14ac:dyDescent="0.3">
      <c r="A396" s="1" t="s">
        <v>381</v>
      </c>
      <c r="B396" s="1" t="s">
        <v>904</v>
      </c>
      <c r="C396" t="s">
        <v>563</v>
      </c>
      <c r="D396" s="1" t="s">
        <v>565</v>
      </c>
      <c r="E396" s="1" t="s">
        <v>189</v>
      </c>
      <c r="F396" s="2" t="s">
        <v>541</v>
      </c>
      <c r="G396" s="3">
        <v>1000</v>
      </c>
      <c r="H396" t="s">
        <v>571</v>
      </c>
    </row>
    <row r="397" spans="1:8" ht="15.75" x14ac:dyDescent="0.3">
      <c r="A397" s="1" t="s">
        <v>381</v>
      </c>
      <c r="B397" s="1" t="s">
        <v>904</v>
      </c>
      <c r="C397" t="s">
        <v>563</v>
      </c>
      <c r="D397" s="1" t="s">
        <v>565</v>
      </c>
      <c r="E397" s="1" t="s">
        <v>189</v>
      </c>
      <c r="F397" s="2" t="s">
        <v>541</v>
      </c>
      <c r="G397" s="3"/>
      <c r="H397" t="s">
        <v>571</v>
      </c>
    </row>
    <row r="398" spans="1:8" ht="15.75" x14ac:dyDescent="0.3">
      <c r="A398" s="1" t="s">
        <v>381</v>
      </c>
      <c r="B398" s="1" t="s">
        <v>904</v>
      </c>
      <c r="C398">
        <v>32</v>
      </c>
      <c r="D398" s="1" t="s">
        <v>565</v>
      </c>
      <c r="E398" s="1" t="s">
        <v>189</v>
      </c>
      <c r="F398" s="2" t="s">
        <v>541</v>
      </c>
      <c r="G398" s="3"/>
      <c r="H398" t="s">
        <v>570</v>
      </c>
    </row>
    <row r="399" spans="1:8" ht="15.75" x14ac:dyDescent="0.3">
      <c r="A399" s="1" t="s">
        <v>382</v>
      </c>
      <c r="B399" s="1" t="s">
        <v>905</v>
      </c>
      <c r="D399" s="1" t="s">
        <v>8</v>
      </c>
      <c r="E399" s="1" t="s">
        <v>6</v>
      </c>
      <c r="F399" s="2">
        <v>42685</v>
      </c>
      <c r="G399" s="3">
        <v>268.073967615838</v>
      </c>
      <c r="H399" t="s">
        <v>570</v>
      </c>
    </row>
    <row r="400" spans="1:8" ht="15.75" x14ac:dyDescent="0.3">
      <c r="A400" s="1" t="s">
        <v>383</v>
      </c>
      <c r="B400" s="1" t="s">
        <v>906</v>
      </c>
      <c r="C400" t="s">
        <v>563</v>
      </c>
      <c r="D400" s="1" t="s">
        <v>8</v>
      </c>
      <c r="E400" s="1" t="s">
        <v>189</v>
      </c>
      <c r="F400" s="2">
        <v>43718</v>
      </c>
      <c r="G400" s="3">
        <v>1500</v>
      </c>
      <c r="H400" t="s">
        <v>568</v>
      </c>
    </row>
    <row r="401" spans="1:8" ht="15.75" x14ac:dyDescent="0.3">
      <c r="A401" s="1" t="s">
        <v>384</v>
      </c>
      <c r="B401" s="1" t="s">
        <v>907</v>
      </c>
      <c r="C401" t="s">
        <v>563</v>
      </c>
      <c r="D401" s="1" t="s">
        <v>5</v>
      </c>
      <c r="E401" s="1" t="s">
        <v>6</v>
      </c>
      <c r="F401" s="4">
        <v>44033</v>
      </c>
      <c r="G401" s="3">
        <v>2500.9726636466798</v>
      </c>
      <c r="H401" t="s">
        <v>569</v>
      </c>
    </row>
    <row r="402" spans="1:8" ht="15.75" x14ac:dyDescent="0.3">
      <c r="A402" s="1" t="s">
        <v>385</v>
      </c>
      <c r="B402" s="1" t="s">
        <v>908</v>
      </c>
      <c r="C402" t="s">
        <v>563</v>
      </c>
      <c r="D402" s="1" t="s">
        <v>57</v>
      </c>
      <c r="E402" s="1" t="s">
        <v>6</v>
      </c>
      <c r="F402" s="2" t="s">
        <v>542</v>
      </c>
      <c r="G402" s="3">
        <v>9500</v>
      </c>
      <c r="H402" t="s">
        <v>569</v>
      </c>
    </row>
    <row r="403" spans="1:8" ht="15.75" x14ac:dyDescent="0.3">
      <c r="A403" s="1" t="s">
        <v>386</v>
      </c>
      <c r="B403" s="1" t="s">
        <v>909</v>
      </c>
      <c r="C403" t="s">
        <v>563</v>
      </c>
      <c r="D403" s="1" t="s">
        <v>5</v>
      </c>
      <c r="E403" s="1" t="s">
        <v>6</v>
      </c>
      <c r="F403" s="2">
        <v>45555</v>
      </c>
      <c r="G403" s="3">
        <v>6163.97775606916</v>
      </c>
    </row>
    <row r="404" spans="1:8" ht="15.75" x14ac:dyDescent="0.3">
      <c r="A404" s="1" t="s">
        <v>387</v>
      </c>
      <c r="B404" s="1" t="s">
        <v>910</v>
      </c>
      <c r="C404">
        <v>53</v>
      </c>
      <c r="D404" s="1" t="s">
        <v>5</v>
      </c>
      <c r="E404" s="1" t="s">
        <v>189</v>
      </c>
      <c r="F404" s="4">
        <v>44479</v>
      </c>
      <c r="G404" s="3">
        <v>1500</v>
      </c>
    </row>
    <row r="405" spans="1:8" ht="15.75" x14ac:dyDescent="0.3">
      <c r="A405" s="1" t="s">
        <v>388</v>
      </c>
      <c r="B405" s="1" t="s">
        <v>911</v>
      </c>
      <c r="C405" t="s">
        <v>563</v>
      </c>
      <c r="D405" s="1" t="s">
        <v>8</v>
      </c>
      <c r="E405" s="1" t="s">
        <v>6</v>
      </c>
      <c r="F405" s="4">
        <v>44502</v>
      </c>
      <c r="G405" s="3">
        <v>420.045319673412</v>
      </c>
      <c r="H405" t="s">
        <v>568</v>
      </c>
    </row>
    <row r="406" spans="1:8" ht="15.75" x14ac:dyDescent="0.3">
      <c r="A406" s="1" t="s">
        <v>389</v>
      </c>
      <c r="B406" s="1" t="s">
        <v>912</v>
      </c>
      <c r="C406" t="s">
        <v>563</v>
      </c>
      <c r="D406" s="1" t="s">
        <v>565</v>
      </c>
      <c r="E406" s="1" t="s">
        <v>189</v>
      </c>
      <c r="F406" s="2">
        <v>44869</v>
      </c>
      <c r="G406" s="3">
        <v>840</v>
      </c>
      <c r="H406" t="s">
        <v>571</v>
      </c>
    </row>
    <row r="407" spans="1:8" ht="15.75" x14ac:dyDescent="0.3">
      <c r="A407" s="1" t="s">
        <v>390</v>
      </c>
      <c r="B407" s="1" t="s">
        <v>913</v>
      </c>
      <c r="C407" t="s">
        <v>563</v>
      </c>
      <c r="D407" s="1" t="s">
        <v>8</v>
      </c>
      <c r="E407" s="1" t="s">
        <v>6</v>
      </c>
      <c r="F407" s="2">
        <v>44521</v>
      </c>
      <c r="G407" s="3">
        <v>2500</v>
      </c>
    </row>
    <row r="408" spans="1:8" ht="15.75" x14ac:dyDescent="0.3">
      <c r="A408" s="1" t="s">
        <v>391</v>
      </c>
      <c r="B408" s="1" t="s">
        <v>914</v>
      </c>
      <c r="C408" t="s">
        <v>563</v>
      </c>
      <c r="D408" s="1" t="s">
        <v>5</v>
      </c>
      <c r="E408" s="1" t="s">
        <v>6</v>
      </c>
      <c r="F408" s="2" t="s">
        <v>543</v>
      </c>
      <c r="G408" s="3">
        <v>5400</v>
      </c>
    </row>
    <row r="409" spans="1:8" ht="15.75" x14ac:dyDescent="0.3">
      <c r="A409" s="1" t="s">
        <v>392</v>
      </c>
      <c r="B409" s="1" t="s">
        <v>915</v>
      </c>
      <c r="C409" t="s">
        <v>563</v>
      </c>
      <c r="D409" s="1" t="s">
        <v>565</v>
      </c>
      <c r="E409" s="1" t="s">
        <v>6</v>
      </c>
      <c r="F409" s="2" t="s">
        <v>544</v>
      </c>
      <c r="G409" s="3">
        <v>278.88749449666398</v>
      </c>
      <c r="H409" t="s">
        <v>570</v>
      </c>
    </row>
    <row r="410" spans="1:8" ht="15.75" x14ac:dyDescent="0.3">
      <c r="A410" s="1" t="s">
        <v>393</v>
      </c>
      <c r="B410" s="1" t="s">
        <v>916</v>
      </c>
      <c r="D410" s="1" t="s">
        <v>565</v>
      </c>
      <c r="E410" s="1" t="s">
        <v>566</v>
      </c>
      <c r="F410" s="2">
        <v>41648</v>
      </c>
      <c r="G410" s="3">
        <v>6300</v>
      </c>
      <c r="H410" t="s">
        <v>571</v>
      </c>
    </row>
    <row r="411" spans="1:8" ht="15.75" x14ac:dyDescent="0.3">
      <c r="A411" s="1" t="s">
        <v>394</v>
      </c>
      <c r="B411" s="1" t="s">
        <v>917</v>
      </c>
      <c r="C411">
        <v>63</v>
      </c>
      <c r="D411" s="1" t="s">
        <v>5</v>
      </c>
      <c r="E411" s="1" t="s">
        <v>189</v>
      </c>
      <c r="F411" s="2">
        <v>40885</v>
      </c>
      <c r="G411" s="3">
        <v>374.47089828204901</v>
      </c>
    </row>
    <row r="412" spans="1:8" ht="15.75" x14ac:dyDescent="0.3">
      <c r="A412" s="1" t="s">
        <v>395</v>
      </c>
      <c r="B412" s="1" t="s">
        <v>918</v>
      </c>
      <c r="C412">
        <v>39</v>
      </c>
      <c r="D412" s="1" t="s">
        <v>396</v>
      </c>
      <c r="E412" s="1" t="s">
        <v>6</v>
      </c>
      <c r="F412" s="4">
        <v>43961</v>
      </c>
      <c r="G412" s="3">
        <v>1500</v>
      </c>
      <c r="H412" t="s">
        <v>568</v>
      </c>
    </row>
    <row r="413" spans="1:8" ht="15.75" x14ac:dyDescent="0.3">
      <c r="A413" s="1" t="s">
        <v>397</v>
      </c>
      <c r="B413" s="1" t="s">
        <v>919</v>
      </c>
      <c r="D413" s="1" t="s">
        <v>565</v>
      </c>
      <c r="E413" s="1" t="s">
        <v>6</v>
      </c>
      <c r="F413" s="2">
        <v>26187</v>
      </c>
      <c r="G413" s="3">
        <v>3103.0946472095602</v>
      </c>
      <c r="H413" t="s">
        <v>571</v>
      </c>
    </row>
    <row r="414" spans="1:8" ht="15.75" x14ac:dyDescent="0.3">
      <c r="A414" s="1" t="s">
        <v>398</v>
      </c>
      <c r="B414" s="1" t="s">
        <v>920</v>
      </c>
      <c r="C414" t="s">
        <v>563</v>
      </c>
      <c r="D414" s="1" t="s">
        <v>8</v>
      </c>
      <c r="E414" s="1" t="s">
        <v>189</v>
      </c>
      <c r="F414" s="2">
        <v>37804</v>
      </c>
      <c r="G414" s="3">
        <v>242.10715510196599</v>
      </c>
      <c r="H414" t="s">
        <v>569</v>
      </c>
    </row>
    <row r="415" spans="1:8" ht="15.75" x14ac:dyDescent="0.3">
      <c r="A415" s="1" t="s">
        <v>399</v>
      </c>
      <c r="B415" s="1" t="s">
        <v>921</v>
      </c>
      <c r="D415" s="1" t="s">
        <v>5</v>
      </c>
      <c r="E415" s="1" t="s">
        <v>189</v>
      </c>
      <c r="F415" s="2">
        <v>45334</v>
      </c>
      <c r="G415" s="3">
        <v>4148.4602702345501</v>
      </c>
      <c r="H415" t="s">
        <v>570</v>
      </c>
    </row>
    <row r="416" spans="1:8" ht="15.75" x14ac:dyDescent="0.3">
      <c r="A416" s="1" t="s">
        <v>400</v>
      </c>
      <c r="B416" s="1" t="s">
        <v>922</v>
      </c>
      <c r="C416" t="s">
        <v>563</v>
      </c>
      <c r="D416" s="1" t="s">
        <v>8</v>
      </c>
      <c r="E416" s="1" t="s">
        <v>6</v>
      </c>
      <c r="F416" s="4">
        <v>44037</v>
      </c>
      <c r="G416" s="3">
        <v>8326.3702513058906</v>
      </c>
      <c r="H416" t="s">
        <v>570</v>
      </c>
    </row>
    <row r="417" spans="1:8" ht="15.75" x14ac:dyDescent="0.3">
      <c r="A417" s="1" t="s">
        <v>401</v>
      </c>
      <c r="B417" s="1" t="s">
        <v>923</v>
      </c>
      <c r="C417" t="s">
        <v>563</v>
      </c>
      <c r="D417" s="1" t="s">
        <v>565</v>
      </c>
      <c r="E417" s="1" t="s">
        <v>189</v>
      </c>
      <c r="F417" s="4">
        <v>44369</v>
      </c>
      <c r="G417" s="3">
        <v>9500</v>
      </c>
      <c r="H417" t="s">
        <v>571</v>
      </c>
    </row>
    <row r="418" spans="1:8" ht="15.75" x14ac:dyDescent="0.3">
      <c r="A418" s="1" t="s">
        <v>402</v>
      </c>
      <c r="B418" s="1" t="s">
        <v>924</v>
      </c>
      <c r="C418" t="s">
        <v>563</v>
      </c>
      <c r="D418" s="1" t="s">
        <v>5</v>
      </c>
      <c r="E418" s="1" t="s">
        <v>6</v>
      </c>
      <c r="F418" s="2" t="s">
        <v>545</v>
      </c>
      <c r="G418" s="3">
        <v>1500</v>
      </c>
      <c r="H418" t="s">
        <v>570</v>
      </c>
    </row>
    <row r="419" spans="1:8" ht="15.75" x14ac:dyDescent="0.3">
      <c r="A419" s="1" t="s">
        <v>403</v>
      </c>
      <c r="B419" s="1" t="s">
        <v>925</v>
      </c>
      <c r="C419">
        <v>33</v>
      </c>
      <c r="D419" s="1" t="s">
        <v>5</v>
      </c>
      <c r="E419" s="1" t="s">
        <v>6</v>
      </c>
      <c r="F419" s="2">
        <v>39217</v>
      </c>
      <c r="G419" s="3">
        <v>317.14524622461403</v>
      </c>
    </row>
    <row r="420" spans="1:8" ht="15.75" x14ac:dyDescent="0.3">
      <c r="A420" s="1" t="s">
        <v>404</v>
      </c>
      <c r="B420" s="1" t="s">
        <v>926</v>
      </c>
      <c r="D420" s="1" t="s">
        <v>8</v>
      </c>
      <c r="E420" s="1" t="s">
        <v>189</v>
      </c>
      <c r="F420" s="2" t="s">
        <v>546</v>
      </c>
      <c r="G420" s="3">
        <v>1500</v>
      </c>
    </row>
    <row r="421" spans="1:8" ht="15.75" x14ac:dyDescent="0.3">
      <c r="A421" s="1" t="s">
        <v>405</v>
      </c>
      <c r="B421" s="1" t="s">
        <v>927</v>
      </c>
      <c r="C421" t="s">
        <v>563</v>
      </c>
      <c r="D421" s="1" t="s">
        <v>564</v>
      </c>
      <c r="E421" s="1" t="s">
        <v>6</v>
      </c>
      <c r="F421" s="4">
        <v>44606</v>
      </c>
      <c r="G421" s="3">
        <v>9500</v>
      </c>
      <c r="H421" t="s">
        <v>570</v>
      </c>
    </row>
    <row r="422" spans="1:8" ht="15.75" x14ac:dyDescent="0.3">
      <c r="A422" s="1" t="s">
        <v>406</v>
      </c>
      <c r="B422" s="1" t="s">
        <v>928</v>
      </c>
      <c r="D422" s="1" t="s">
        <v>5</v>
      </c>
      <c r="E422" s="1" t="s">
        <v>189</v>
      </c>
      <c r="F422" s="2">
        <v>45536</v>
      </c>
      <c r="G422" s="3">
        <v>4.7349788780394197</v>
      </c>
      <c r="H422" t="s">
        <v>568</v>
      </c>
    </row>
    <row r="423" spans="1:8" ht="15.75" x14ac:dyDescent="0.3">
      <c r="A423" s="1" t="s">
        <v>407</v>
      </c>
      <c r="B423" s="1" t="s">
        <v>929</v>
      </c>
      <c r="C423" t="s">
        <v>563</v>
      </c>
      <c r="D423" s="1" t="s">
        <v>564</v>
      </c>
      <c r="E423" s="1" t="s">
        <v>189</v>
      </c>
      <c r="F423" s="4">
        <v>44037</v>
      </c>
      <c r="G423" s="3">
        <v>1379.9788345776501</v>
      </c>
    </row>
    <row r="424" spans="1:8" ht="15.75" x14ac:dyDescent="0.3">
      <c r="A424" s="1" t="s">
        <v>408</v>
      </c>
      <c r="B424" s="1" t="s">
        <v>930</v>
      </c>
      <c r="C424">
        <v>62</v>
      </c>
      <c r="D424" s="1" t="s">
        <v>70</v>
      </c>
      <c r="E424" s="1" t="s">
        <v>566</v>
      </c>
      <c r="F424" s="2" t="s">
        <v>547</v>
      </c>
      <c r="G424" s="3">
        <v>6514.7905032278204</v>
      </c>
      <c r="H424" t="s">
        <v>568</v>
      </c>
    </row>
    <row r="425" spans="1:8" ht="15.75" x14ac:dyDescent="0.3">
      <c r="A425" s="1" t="s">
        <v>409</v>
      </c>
      <c r="B425" s="1" t="s">
        <v>931</v>
      </c>
      <c r="D425" s="1" t="s">
        <v>565</v>
      </c>
      <c r="E425" s="1" t="s">
        <v>189</v>
      </c>
      <c r="F425" s="2" t="s">
        <v>548</v>
      </c>
      <c r="G425" s="3">
        <v>9500</v>
      </c>
      <c r="H425" t="s">
        <v>569</v>
      </c>
    </row>
    <row r="426" spans="1:8" ht="15.75" x14ac:dyDescent="0.3">
      <c r="A426" s="1" t="s">
        <v>410</v>
      </c>
      <c r="B426" s="1" t="s">
        <v>932</v>
      </c>
      <c r="D426" s="1" t="s">
        <v>5</v>
      </c>
      <c r="E426" s="1" t="s">
        <v>189</v>
      </c>
      <c r="F426" s="2" t="s">
        <v>549</v>
      </c>
      <c r="G426" s="3">
        <v>4963.4252764708399</v>
      </c>
      <c r="H426" t="s">
        <v>568</v>
      </c>
    </row>
    <row r="427" spans="1:8" ht="15.75" x14ac:dyDescent="0.3">
      <c r="A427" s="1" t="s">
        <v>411</v>
      </c>
      <c r="B427" s="1" t="s">
        <v>933</v>
      </c>
      <c r="C427">
        <v>23</v>
      </c>
      <c r="D427" s="1" t="s">
        <v>8</v>
      </c>
      <c r="E427" s="1" t="s">
        <v>6</v>
      </c>
      <c r="F427" s="2" t="s">
        <v>550</v>
      </c>
      <c r="G427" s="3">
        <v>9500</v>
      </c>
      <c r="H427" t="s">
        <v>568</v>
      </c>
    </row>
    <row r="428" spans="1:8" ht="15.75" x14ac:dyDescent="0.3">
      <c r="A428" s="1" t="s">
        <v>411</v>
      </c>
      <c r="B428" s="1" t="s">
        <v>933</v>
      </c>
      <c r="C428">
        <v>46</v>
      </c>
      <c r="D428" s="1" t="s">
        <v>8</v>
      </c>
      <c r="E428" s="1" t="s">
        <v>6</v>
      </c>
      <c r="F428" s="2" t="s">
        <v>550</v>
      </c>
      <c r="G428" s="3">
        <v>9500</v>
      </c>
    </row>
    <row r="429" spans="1:8" ht="15.75" x14ac:dyDescent="0.3">
      <c r="A429" s="1" t="s">
        <v>411</v>
      </c>
      <c r="B429" s="1" t="s">
        <v>933</v>
      </c>
      <c r="C429">
        <v>63</v>
      </c>
      <c r="D429" s="1" t="s">
        <v>8</v>
      </c>
      <c r="E429" s="1" t="s">
        <v>6</v>
      </c>
      <c r="F429" s="2" t="s">
        <v>550</v>
      </c>
      <c r="G429" s="3">
        <v>9500</v>
      </c>
      <c r="H429" t="s">
        <v>571</v>
      </c>
    </row>
    <row r="430" spans="1:8" ht="15.75" x14ac:dyDescent="0.3">
      <c r="A430" s="1" t="s">
        <v>412</v>
      </c>
      <c r="B430" s="1" t="s">
        <v>934</v>
      </c>
      <c r="C430" t="s">
        <v>563</v>
      </c>
      <c r="D430" s="1" t="s">
        <v>8</v>
      </c>
      <c r="E430" s="1" t="s">
        <v>189</v>
      </c>
      <c r="F430" s="2" t="s">
        <v>551</v>
      </c>
      <c r="G430" s="3">
        <v>9500</v>
      </c>
      <c r="H430" t="s">
        <v>568</v>
      </c>
    </row>
    <row r="431" spans="1:8" ht="15.75" x14ac:dyDescent="0.3">
      <c r="A431" s="1" t="s">
        <v>413</v>
      </c>
      <c r="B431" s="1" t="s">
        <v>935</v>
      </c>
      <c r="C431" t="s">
        <v>563</v>
      </c>
      <c r="D431" s="1" t="s">
        <v>8</v>
      </c>
      <c r="E431" s="1" t="s">
        <v>189</v>
      </c>
      <c r="F431" s="2">
        <v>44845</v>
      </c>
      <c r="G431" s="3">
        <v>17000</v>
      </c>
      <c r="H431" t="s">
        <v>570</v>
      </c>
    </row>
    <row r="432" spans="1:8" ht="15.75" x14ac:dyDescent="0.3">
      <c r="A432" s="1" t="s">
        <v>414</v>
      </c>
      <c r="B432" s="1" t="s">
        <v>936</v>
      </c>
      <c r="D432" s="1" t="s">
        <v>5</v>
      </c>
      <c r="E432" s="1" t="s">
        <v>6</v>
      </c>
      <c r="F432" s="4">
        <v>44037</v>
      </c>
      <c r="G432" s="3">
        <v>1500</v>
      </c>
    </row>
    <row r="433" spans="1:8" ht="15.75" x14ac:dyDescent="0.3">
      <c r="A433" s="1" t="s">
        <v>415</v>
      </c>
      <c r="B433" s="1" t="s">
        <v>937</v>
      </c>
      <c r="C433" t="s">
        <v>563</v>
      </c>
      <c r="D433" s="1" t="s">
        <v>5</v>
      </c>
      <c r="E433" s="1" t="s">
        <v>566</v>
      </c>
      <c r="F433" s="2">
        <v>45394</v>
      </c>
      <c r="G433" s="3">
        <v>459.28476549100799</v>
      </c>
    </row>
    <row r="434" spans="1:8" ht="15.75" x14ac:dyDescent="0.3">
      <c r="A434" s="1" t="s">
        <v>415</v>
      </c>
      <c r="B434" s="1" t="s">
        <v>937</v>
      </c>
      <c r="C434">
        <v>29</v>
      </c>
      <c r="D434" s="1" t="s">
        <v>5</v>
      </c>
      <c r="E434" s="1" t="s">
        <v>566</v>
      </c>
      <c r="F434" s="2">
        <v>45394</v>
      </c>
      <c r="G434" s="3">
        <v>459.28476549100799</v>
      </c>
      <c r="H434" t="s">
        <v>568</v>
      </c>
    </row>
    <row r="435" spans="1:8" ht="15.75" x14ac:dyDescent="0.3">
      <c r="A435" s="1" t="s">
        <v>416</v>
      </c>
      <c r="B435" s="1" t="s">
        <v>938</v>
      </c>
      <c r="D435" s="1" t="s">
        <v>5</v>
      </c>
      <c r="E435" s="1" t="s">
        <v>189</v>
      </c>
      <c r="F435" s="4">
        <v>43490</v>
      </c>
      <c r="G435" s="3">
        <v>1500</v>
      </c>
      <c r="H435" t="s">
        <v>569</v>
      </c>
    </row>
    <row r="436" spans="1:8" ht="15.75" x14ac:dyDescent="0.3">
      <c r="A436" s="1" t="s">
        <v>417</v>
      </c>
      <c r="B436" s="1" t="s">
        <v>939</v>
      </c>
      <c r="C436" t="s">
        <v>563</v>
      </c>
      <c r="D436" s="1" t="s">
        <v>565</v>
      </c>
      <c r="E436" s="1" t="s">
        <v>6</v>
      </c>
      <c r="F436" s="2">
        <v>45545</v>
      </c>
      <c r="G436" s="3">
        <v>788.30668616620801</v>
      </c>
    </row>
    <row r="437" spans="1:8" ht="15.75" x14ac:dyDescent="0.3">
      <c r="A437" s="1" t="s">
        <v>418</v>
      </c>
      <c r="B437" s="1" t="s">
        <v>940</v>
      </c>
      <c r="C437">
        <v>52</v>
      </c>
      <c r="D437" s="1" t="s">
        <v>5</v>
      </c>
      <c r="E437" s="1" t="s">
        <v>189</v>
      </c>
      <c r="F437" s="2">
        <v>45523</v>
      </c>
      <c r="G437" s="3">
        <v>6063.3841775421897</v>
      </c>
    </row>
    <row r="438" spans="1:8" ht="15.75" x14ac:dyDescent="0.3">
      <c r="A438" s="1" t="s">
        <v>419</v>
      </c>
      <c r="B438" s="1" t="s">
        <v>941</v>
      </c>
      <c r="C438">
        <v>53</v>
      </c>
      <c r="D438" s="1" t="s">
        <v>5</v>
      </c>
      <c r="E438" s="1" t="s">
        <v>6</v>
      </c>
      <c r="F438" s="2">
        <v>45348</v>
      </c>
      <c r="G438" s="3">
        <v>658.437303185921</v>
      </c>
    </row>
    <row r="439" spans="1:8" ht="15.75" x14ac:dyDescent="0.3">
      <c r="A439" s="1" t="s">
        <v>420</v>
      </c>
      <c r="B439" s="1" t="s">
        <v>942</v>
      </c>
      <c r="C439" t="s">
        <v>563</v>
      </c>
      <c r="D439" s="1" t="s">
        <v>565</v>
      </c>
      <c r="E439" s="1" t="s">
        <v>6</v>
      </c>
      <c r="F439" s="2">
        <v>45561</v>
      </c>
      <c r="G439" s="3">
        <v>363.01661683714099</v>
      </c>
      <c r="H439" t="s">
        <v>571</v>
      </c>
    </row>
    <row r="440" spans="1:8" ht="15.75" x14ac:dyDescent="0.3">
      <c r="A440" s="1" t="s">
        <v>421</v>
      </c>
      <c r="B440" s="1" t="s">
        <v>943</v>
      </c>
      <c r="D440" s="1" t="s">
        <v>565</v>
      </c>
      <c r="E440" s="1" t="s">
        <v>566</v>
      </c>
      <c r="F440" s="4">
        <v>43448</v>
      </c>
      <c r="G440" s="3">
        <v>850</v>
      </c>
      <c r="H440" t="s">
        <v>570</v>
      </c>
    </row>
    <row r="441" spans="1:8" ht="15.75" x14ac:dyDescent="0.3">
      <c r="A441" s="1" t="s">
        <v>422</v>
      </c>
      <c r="B441" s="1" t="s">
        <v>944</v>
      </c>
      <c r="C441" t="s">
        <v>563</v>
      </c>
      <c r="D441" s="1" t="s">
        <v>564</v>
      </c>
      <c r="E441" s="1" t="s">
        <v>189</v>
      </c>
      <c r="F441" s="2">
        <v>38868</v>
      </c>
      <c r="G441" s="3">
        <v>2568.5583578583201</v>
      </c>
      <c r="H441" t="s">
        <v>571</v>
      </c>
    </row>
    <row r="442" spans="1:8" ht="15.75" x14ac:dyDescent="0.3">
      <c r="A442" s="1" t="s">
        <v>423</v>
      </c>
      <c r="B442" s="1" t="s">
        <v>945</v>
      </c>
      <c r="C442" t="s">
        <v>563</v>
      </c>
      <c r="D442" s="1" t="s">
        <v>5</v>
      </c>
      <c r="E442" s="1" t="s">
        <v>189</v>
      </c>
      <c r="F442" s="2">
        <v>39092</v>
      </c>
      <c r="G442" s="3">
        <v>460.89489546675702</v>
      </c>
    </row>
    <row r="443" spans="1:8" ht="15.75" x14ac:dyDescent="0.3">
      <c r="A443" s="1" t="s">
        <v>424</v>
      </c>
      <c r="B443" s="1" t="s">
        <v>946</v>
      </c>
      <c r="C443">
        <v>26</v>
      </c>
      <c r="D443" s="1" t="s">
        <v>565</v>
      </c>
      <c r="E443" s="1" t="s">
        <v>6</v>
      </c>
      <c r="F443" s="2">
        <v>39933</v>
      </c>
      <c r="G443" s="3">
        <v>1500</v>
      </c>
    </row>
    <row r="444" spans="1:8" ht="15.75" x14ac:dyDescent="0.3">
      <c r="A444" s="1" t="s">
        <v>425</v>
      </c>
      <c r="B444" s="1" t="s">
        <v>947</v>
      </c>
      <c r="D444" s="1" t="s">
        <v>564</v>
      </c>
      <c r="E444" s="1" t="s">
        <v>189</v>
      </c>
      <c r="F444" s="2">
        <v>43017</v>
      </c>
      <c r="G444" s="3">
        <v>568.043827367532</v>
      </c>
    </row>
    <row r="445" spans="1:8" ht="15.75" x14ac:dyDescent="0.3">
      <c r="A445" s="1" t="s">
        <v>426</v>
      </c>
      <c r="B445" s="1" t="s">
        <v>948</v>
      </c>
      <c r="C445" t="s">
        <v>563</v>
      </c>
      <c r="D445" s="1" t="s">
        <v>564</v>
      </c>
      <c r="E445" s="1" t="s">
        <v>6</v>
      </c>
      <c r="F445" s="2">
        <v>30233</v>
      </c>
      <c r="G445" s="3">
        <v>159.04619252292301</v>
      </c>
      <c r="H445" t="s">
        <v>570</v>
      </c>
    </row>
    <row r="446" spans="1:8" ht="15.75" x14ac:dyDescent="0.3">
      <c r="A446" s="1" t="s">
        <v>427</v>
      </c>
      <c r="B446" s="1" t="s">
        <v>949</v>
      </c>
      <c r="D446" s="1" t="s">
        <v>8</v>
      </c>
      <c r="E446" s="1" t="s">
        <v>189</v>
      </c>
      <c r="F446" s="2">
        <v>45329</v>
      </c>
      <c r="G446" s="3">
        <v>398.09270556066099</v>
      </c>
    </row>
    <row r="447" spans="1:8" ht="15.75" x14ac:dyDescent="0.3">
      <c r="A447" s="1" t="s">
        <v>428</v>
      </c>
      <c r="B447" s="1" t="s">
        <v>950</v>
      </c>
      <c r="D447" s="1" t="s">
        <v>5</v>
      </c>
      <c r="E447" s="1" t="s">
        <v>6</v>
      </c>
      <c r="F447" s="4">
        <v>44742</v>
      </c>
      <c r="G447" s="3">
        <v>573.59310641522097</v>
      </c>
    </row>
    <row r="448" spans="1:8" ht="15.75" x14ac:dyDescent="0.3">
      <c r="A448" s="1" t="s">
        <v>429</v>
      </c>
      <c r="B448" s="1" t="s">
        <v>951</v>
      </c>
      <c r="C448">
        <v>40</v>
      </c>
      <c r="D448" s="1" t="s">
        <v>5</v>
      </c>
      <c r="E448" s="1" t="s">
        <v>6</v>
      </c>
      <c r="F448" s="2">
        <v>45587</v>
      </c>
      <c r="G448" s="3">
        <v>127.363789032357</v>
      </c>
    </row>
    <row r="449" spans="1:8" ht="15.75" x14ac:dyDescent="0.3">
      <c r="A449" s="1" t="s">
        <v>429</v>
      </c>
      <c r="B449" s="1" t="s">
        <v>951</v>
      </c>
      <c r="C449">
        <v>44</v>
      </c>
      <c r="D449" s="1" t="s">
        <v>5</v>
      </c>
      <c r="E449" s="1" t="s">
        <v>189</v>
      </c>
      <c r="F449" s="2">
        <v>45587</v>
      </c>
      <c r="G449" s="3">
        <v>127.363789032357</v>
      </c>
    </row>
    <row r="450" spans="1:8" ht="15.75" x14ac:dyDescent="0.3">
      <c r="A450" s="1" t="s">
        <v>430</v>
      </c>
      <c r="B450" s="1" t="s">
        <v>952</v>
      </c>
      <c r="C450">
        <v>29</v>
      </c>
      <c r="D450" s="1" t="s">
        <v>5</v>
      </c>
      <c r="E450" s="1" t="s">
        <v>189</v>
      </c>
      <c r="F450" s="2">
        <v>42917</v>
      </c>
      <c r="G450" s="3">
        <v>54000</v>
      </c>
      <c r="H450" t="s">
        <v>571</v>
      </c>
    </row>
    <row r="451" spans="1:8" ht="15.75" x14ac:dyDescent="0.3">
      <c r="A451" s="1" t="s">
        <v>431</v>
      </c>
      <c r="B451" s="1" t="s">
        <v>953</v>
      </c>
      <c r="C451" t="s">
        <v>563</v>
      </c>
      <c r="D451" s="1" t="s">
        <v>564</v>
      </c>
      <c r="E451" s="1" t="s">
        <v>6</v>
      </c>
      <c r="F451" s="2">
        <v>40341</v>
      </c>
      <c r="G451" s="3">
        <v>1500</v>
      </c>
    </row>
    <row r="452" spans="1:8" ht="15.75" x14ac:dyDescent="0.3">
      <c r="A452" s="1" t="s">
        <v>432</v>
      </c>
      <c r="B452" s="1" t="s">
        <v>954</v>
      </c>
      <c r="D452" s="1" t="s">
        <v>565</v>
      </c>
      <c r="E452" s="1" t="s">
        <v>189</v>
      </c>
      <c r="F452" s="2" t="s">
        <v>552</v>
      </c>
      <c r="G452" s="3">
        <v>1500</v>
      </c>
    </row>
    <row r="453" spans="1:8" ht="15.75" x14ac:dyDescent="0.3">
      <c r="A453" s="1" t="s">
        <v>433</v>
      </c>
      <c r="B453" s="1" t="s">
        <v>955</v>
      </c>
      <c r="D453" s="1" t="s">
        <v>564</v>
      </c>
      <c r="E453" s="1" t="s">
        <v>6</v>
      </c>
      <c r="F453" s="4">
        <v>44140</v>
      </c>
      <c r="G453" s="3">
        <v>30.688579780824799</v>
      </c>
    </row>
    <row r="454" spans="1:8" ht="15.75" x14ac:dyDescent="0.3">
      <c r="A454" s="1" t="s">
        <v>434</v>
      </c>
      <c r="B454" s="1" t="s">
        <v>956</v>
      </c>
      <c r="D454" s="1" t="s">
        <v>57</v>
      </c>
      <c r="E454" s="1" t="s">
        <v>6</v>
      </c>
      <c r="F454" s="2">
        <v>40493</v>
      </c>
      <c r="G454" s="3">
        <v>1500</v>
      </c>
    </row>
    <row r="455" spans="1:8" ht="15.75" x14ac:dyDescent="0.3">
      <c r="A455" s="1" t="s">
        <v>435</v>
      </c>
      <c r="B455" s="1" t="s">
        <v>957</v>
      </c>
      <c r="C455">
        <v>65</v>
      </c>
      <c r="D455" s="1" t="s">
        <v>564</v>
      </c>
      <c r="E455" s="1" t="s">
        <v>6</v>
      </c>
      <c r="F455" s="2">
        <v>42554</v>
      </c>
      <c r="G455" s="3">
        <v>9557.1452255059903</v>
      </c>
    </row>
    <row r="456" spans="1:8" ht="15.75" x14ac:dyDescent="0.3">
      <c r="A456" s="1" t="s">
        <v>436</v>
      </c>
      <c r="B456" s="1" t="s">
        <v>958</v>
      </c>
      <c r="C456" t="s">
        <v>563</v>
      </c>
      <c r="D456" s="1" t="s">
        <v>565</v>
      </c>
      <c r="E456" s="1" t="s">
        <v>6</v>
      </c>
      <c r="F456" s="2">
        <v>45508</v>
      </c>
      <c r="G456" s="3">
        <v>1500</v>
      </c>
      <c r="H456" t="s">
        <v>568</v>
      </c>
    </row>
    <row r="457" spans="1:8" ht="15.75" x14ac:dyDescent="0.3">
      <c r="A457" s="1" t="s">
        <v>437</v>
      </c>
      <c r="B457" s="1" t="s">
        <v>959</v>
      </c>
      <c r="D457" s="1" t="s">
        <v>565</v>
      </c>
      <c r="E457" s="1" t="s">
        <v>189</v>
      </c>
      <c r="F457" s="2">
        <v>41538</v>
      </c>
      <c r="G457" s="3">
        <v>1500</v>
      </c>
      <c r="H457" t="s">
        <v>568</v>
      </c>
    </row>
    <row r="458" spans="1:8" ht="15.75" x14ac:dyDescent="0.3">
      <c r="A458" s="1" t="s">
        <v>438</v>
      </c>
      <c r="B458" s="1" t="s">
        <v>960</v>
      </c>
      <c r="C458" t="s">
        <v>563</v>
      </c>
      <c r="D458" s="1" t="s">
        <v>565</v>
      </c>
      <c r="E458" s="1" t="s">
        <v>6</v>
      </c>
      <c r="F458" s="2">
        <v>45525</v>
      </c>
      <c r="G458" s="3">
        <v>78.5469795729921</v>
      </c>
    </row>
    <row r="459" spans="1:8" ht="15.75" x14ac:dyDescent="0.3">
      <c r="A459" s="1" t="s">
        <v>439</v>
      </c>
      <c r="B459" s="1" t="s">
        <v>961</v>
      </c>
      <c r="C459" t="s">
        <v>563</v>
      </c>
      <c r="D459" s="1" t="s">
        <v>8</v>
      </c>
      <c r="E459" s="1" t="s">
        <v>189</v>
      </c>
      <c r="F459" s="2" t="s">
        <v>553</v>
      </c>
      <c r="G459" s="3">
        <v>1500</v>
      </c>
    </row>
    <row r="460" spans="1:8" ht="15.75" x14ac:dyDescent="0.3">
      <c r="A460" s="1" t="s">
        <v>440</v>
      </c>
      <c r="B460" s="1" t="s">
        <v>962</v>
      </c>
      <c r="D460" s="1" t="s">
        <v>564</v>
      </c>
      <c r="E460" s="1" t="s">
        <v>189</v>
      </c>
      <c r="F460" s="2" t="s">
        <v>554</v>
      </c>
      <c r="G460" s="3">
        <v>1500</v>
      </c>
      <c r="H460" t="s">
        <v>570</v>
      </c>
    </row>
    <row r="461" spans="1:8" ht="15.75" x14ac:dyDescent="0.3">
      <c r="A461" s="1" t="s">
        <v>441</v>
      </c>
      <c r="B461" s="1" t="s">
        <v>963</v>
      </c>
      <c r="D461" s="1" t="s">
        <v>564</v>
      </c>
      <c r="E461" s="1" t="s">
        <v>189</v>
      </c>
      <c r="F461" s="2">
        <v>39993</v>
      </c>
      <c r="G461" s="3">
        <v>62.158911812909501</v>
      </c>
      <c r="H461" t="s">
        <v>570</v>
      </c>
    </row>
    <row r="462" spans="1:8" ht="15.75" x14ac:dyDescent="0.3">
      <c r="A462" s="1" t="s">
        <v>442</v>
      </c>
      <c r="B462" s="1" t="s">
        <v>964</v>
      </c>
      <c r="C462" t="s">
        <v>563</v>
      </c>
      <c r="D462" s="1" t="s">
        <v>565</v>
      </c>
      <c r="E462" s="1" t="s">
        <v>6</v>
      </c>
      <c r="F462" s="4">
        <v>44502</v>
      </c>
      <c r="G462" s="3">
        <v>9800</v>
      </c>
    </row>
    <row r="463" spans="1:8" ht="15.75" x14ac:dyDescent="0.3">
      <c r="A463" s="1" t="s">
        <v>443</v>
      </c>
      <c r="B463" s="1" t="s">
        <v>965</v>
      </c>
      <c r="C463">
        <v>32</v>
      </c>
      <c r="D463" s="1" t="s">
        <v>5</v>
      </c>
      <c r="E463" s="1" t="s">
        <v>6</v>
      </c>
      <c r="F463" s="2">
        <v>33180</v>
      </c>
      <c r="G463" s="3">
        <v>1500</v>
      </c>
      <c r="H463" t="s">
        <v>570</v>
      </c>
    </row>
    <row r="464" spans="1:8" ht="15.75" x14ac:dyDescent="0.3">
      <c r="A464" s="1" t="s">
        <v>444</v>
      </c>
      <c r="B464" s="1" t="s">
        <v>966</v>
      </c>
      <c r="C464">
        <v>51</v>
      </c>
      <c r="D464" s="1" t="s">
        <v>565</v>
      </c>
      <c r="E464" s="1" t="s">
        <v>6</v>
      </c>
      <c r="F464" s="2" t="s">
        <v>555</v>
      </c>
      <c r="G464" s="3">
        <v>1000</v>
      </c>
      <c r="H464" t="s">
        <v>568</v>
      </c>
    </row>
    <row r="465" spans="1:8" ht="15.75" x14ac:dyDescent="0.3">
      <c r="A465" s="1" t="s">
        <v>445</v>
      </c>
      <c r="B465" s="1" t="s">
        <v>967</v>
      </c>
      <c r="C465">
        <v>37</v>
      </c>
      <c r="D465" s="1" t="s">
        <v>565</v>
      </c>
      <c r="E465" s="1" t="s">
        <v>6</v>
      </c>
      <c r="F465" s="2">
        <v>37905</v>
      </c>
      <c r="G465" s="3">
        <v>1500</v>
      </c>
    </row>
    <row r="466" spans="1:8" ht="15.75" x14ac:dyDescent="0.3">
      <c r="A466" s="1" t="s">
        <v>445</v>
      </c>
      <c r="B466" s="1" t="s">
        <v>967</v>
      </c>
      <c r="C466">
        <v>24</v>
      </c>
      <c r="D466" s="1" t="s">
        <v>565</v>
      </c>
      <c r="E466" s="1" t="s">
        <v>6</v>
      </c>
      <c r="F466" s="2">
        <v>37905</v>
      </c>
      <c r="G466" s="3">
        <v>1500</v>
      </c>
      <c r="H466" t="s">
        <v>571</v>
      </c>
    </row>
    <row r="467" spans="1:8" ht="15.75" x14ac:dyDescent="0.3">
      <c r="A467" s="1" t="s">
        <v>446</v>
      </c>
      <c r="B467" s="1" t="s">
        <v>968</v>
      </c>
      <c r="C467" t="s">
        <v>563</v>
      </c>
      <c r="D467" s="1" t="s">
        <v>565</v>
      </c>
      <c r="E467" s="1" t="s">
        <v>189</v>
      </c>
      <c r="F467" s="2">
        <v>38752</v>
      </c>
      <c r="G467" s="3">
        <v>9851.8259493926707</v>
      </c>
      <c r="H467" t="s">
        <v>569</v>
      </c>
    </row>
    <row r="468" spans="1:8" ht="15.75" x14ac:dyDescent="0.3">
      <c r="A468" s="1" t="s">
        <v>447</v>
      </c>
      <c r="B468" s="1" t="s">
        <v>969</v>
      </c>
      <c r="C468" t="s">
        <v>563</v>
      </c>
      <c r="D468" s="1" t="s">
        <v>8</v>
      </c>
      <c r="E468" s="1" t="s">
        <v>566</v>
      </c>
      <c r="F468" s="2">
        <v>43079</v>
      </c>
      <c r="G468" s="3">
        <v>9500</v>
      </c>
    </row>
    <row r="469" spans="1:8" ht="15.75" x14ac:dyDescent="0.3">
      <c r="A469" s="1" t="s">
        <v>448</v>
      </c>
      <c r="B469" s="1" t="s">
        <v>970</v>
      </c>
      <c r="D469" s="1" t="s">
        <v>565</v>
      </c>
      <c r="E469" s="1" t="s">
        <v>566</v>
      </c>
      <c r="F469" s="2">
        <v>45305</v>
      </c>
      <c r="G469" s="3">
        <v>1288.2023216088701</v>
      </c>
      <c r="H469" t="s">
        <v>571</v>
      </c>
    </row>
    <row r="470" spans="1:8" ht="15.75" x14ac:dyDescent="0.3">
      <c r="A470" s="1" t="s">
        <v>448</v>
      </c>
      <c r="B470" s="1" t="s">
        <v>970</v>
      </c>
      <c r="D470" s="1" t="s">
        <v>565</v>
      </c>
      <c r="E470" s="1" t="s">
        <v>189</v>
      </c>
      <c r="F470" s="2">
        <v>45305</v>
      </c>
      <c r="G470" s="3">
        <v>1288.2023216088701</v>
      </c>
    </row>
    <row r="471" spans="1:8" ht="15.75" x14ac:dyDescent="0.3">
      <c r="A471" s="1" t="s">
        <v>449</v>
      </c>
      <c r="B471" s="1" t="s">
        <v>971</v>
      </c>
      <c r="C471" t="s">
        <v>563</v>
      </c>
      <c r="D471" s="1" t="s">
        <v>564</v>
      </c>
      <c r="E471" s="1" t="s">
        <v>189</v>
      </c>
      <c r="F471" s="2">
        <v>45392</v>
      </c>
      <c r="G471" s="3">
        <v>234.029260524927</v>
      </c>
      <c r="H471" t="s">
        <v>568</v>
      </c>
    </row>
    <row r="472" spans="1:8" ht="15.75" x14ac:dyDescent="0.3">
      <c r="A472" s="1" t="s">
        <v>450</v>
      </c>
      <c r="B472" s="1" t="s">
        <v>972</v>
      </c>
      <c r="C472">
        <v>64</v>
      </c>
      <c r="D472" s="1" t="s">
        <v>565</v>
      </c>
      <c r="E472" s="1" t="s">
        <v>189</v>
      </c>
      <c r="F472" s="2">
        <v>38620</v>
      </c>
      <c r="G472" s="3">
        <v>1230</v>
      </c>
    </row>
    <row r="473" spans="1:8" ht="15.75" x14ac:dyDescent="0.3">
      <c r="A473" s="1" t="s">
        <v>451</v>
      </c>
      <c r="B473" s="1" t="s">
        <v>973</v>
      </c>
      <c r="D473" s="1" t="s">
        <v>8</v>
      </c>
      <c r="E473" s="1" t="s">
        <v>6</v>
      </c>
      <c r="F473" s="2" t="s">
        <v>556</v>
      </c>
      <c r="G473" s="3">
        <v>1500</v>
      </c>
      <c r="H473" t="s">
        <v>568</v>
      </c>
    </row>
    <row r="474" spans="1:8" ht="15.75" x14ac:dyDescent="0.3">
      <c r="A474" s="1" t="s">
        <v>452</v>
      </c>
      <c r="B474" s="1" t="s">
        <v>974</v>
      </c>
      <c r="D474" s="1" t="s">
        <v>565</v>
      </c>
      <c r="E474" s="1" t="s">
        <v>566</v>
      </c>
      <c r="F474" s="2" t="s">
        <v>557</v>
      </c>
      <c r="G474" s="3">
        <v>1500</v>
      </c>
    </row>
    <row r="475" spans="1:8" ht="15.75" x14ac:dyDescent="0.3">
      <c r="A475" s="1" t="s">
        <v>453</v>
      </c>
      <c r="B475" s="1" t="s">
        <v>975</v>
      </c>
      <c r="C475" t="s">
        <v>563</v>
      </c>
      <c r="D475" s="1" t="s">
        <v>5</v>
      </c>
      <c r="E475" s="1" t="s">
        <v>6</v>
      </c>
      <c r="F475" s="2">
        <v>26604</v>
      </c>
      <c r="G475" s="3">
        <v>1928</v>
      </c>
      <c r="H475" t="s">
        <v>568</v>
      </c>
    </row>
    <row r="476" spans="1:8" ht="15.75" x14ac:dyDescent="0.3">
      <c r="A476" s="1" t="s">
        <v>454</v>
      </c>
      <c r="B476" s="1" t="s">
        <v>976</v>
      </c>
      <c r="C476" t="s">
        <v>563</v>
      </c>
      <c r="D476" s="1" t="s">
        <v>565</v>
      </c>
      <c r="E476" s="1" t="s">
        <v>566</v>
      </c>
      <c r="F476" s="2">
        <v>45576</v>
      </c>
      <c r="G476" s="3">
        <v>17000</v>
      </c>
    </row>
    <row r="477" spans="1:8" ht="15.75" x14ac:dyDescent="0.3">
      <c r="A477" s="1" t="s">
        <v>455</v>
      </c>
      <c r="B477" s="1" t="s">
        <v>977</v>
      </c>
      <c r="C477">
        <v>25</v>
      </c>
      <c r="D477" s="1" t="s">
        <v>564</v>
      </c>
      <c r="E477" s="1" t="s">
        <v>189</v>
      </c>
      <c r="F477" s="2" t="s">
        <v>558</v>
      </c>
      <c r="G477" s="3">
        <v>933.45756551658803</v>
      </c>
      <c r="H477" t="s">
        <v>570</v>
      </c>
    </row>
    <row r="478" spans="1:8" ht="15.75" x14ac:dyDescent="0.3">
      <c r="A478" s="1" t="s">
        <v>456</v>
      </c>
      <c r="B478" s="1" t="s">
        <v>978</v>
      </c>
      <c r="C478" t="s">
        <v>563</v>
      </c>
      <c r="D478" s="1" t="s">
        <v>565</v>
      </c>
      <c r="E478" s="1" t="s">
        <v>189</v>
      </c>
      <c r="F478" s="2">
        <v>41793</v>
      </c>
      <c r="G478" s="3">
        <v>5096.5701893169598</v>
      </c>
    </row>
    <row r="479" spans="1:8" ht="15.75" x14ac:dyDescent="0.3">
      <c r="A479" s="1" t="s">
        <v>457</v>
      </c>
      <c r="B479" s="1" t="s">
        <v>979</v>
      </c>
      <c r="D479" s="1" t="s">
        <v>565</v>
      </c>
      <c r="E479" s="1" t="s">
        <v>566</v>
      </c>
      <c r="F479" s="2">
        <v>45516</v>
      </c>
      <c r="G479" s="3">
        <v>300.808682375297</v>
      </c>
    </row>
    <row r="480" spans="1:8" ht="15.75" x14ac:dyDescent="0.3">
      <c r="A480" s="1" t="s">
        <v>458</v>
      </c>
      <c r="B480" s="1" t="s">
        <v>980</v>
      </c>
      <c r="D480" s="1" t="s">
        <v>565</v>
      </c>
      <c r="E480" s="1" t="s">
        <v>6</v>
      </c>
      <c r="F480" s="2">
        <v>45461</v>
      </c>
      <c r="G480" s="3">
        <v>1500</v>
      </c>
      <c r="H480" t="s">
        <v>569</v>
      </c>
    </row>
    <row r="481" spans="1:8" ht="15.75" x14ac:dyDescent="0.3">
      <c r="A481" s="1" t="s">
        <v>459</v>
      </c>
      <c r="B481" s="1" t="s">
        <v>981</v>
      </c>
      <c r="C481">
        <v>47</v>
      </c>
      <c r="D481" s="1" t="s">
        <v>8</v>
      </c>
      <c r="E481" s="1" t="s">
        <v>566</v>
      </c>
      <c r="F481" s="2">
        <v>45304</v>
      </c>
      <c r="G481" s="3">
        <v>14000</v>
      </c>
      <c r="H481" t="s">
        <v>568</v>
      </c>
    </row>
    <row r="482" spans="1:8" ht="15.75" x14ac:dyDescent="0.3">
      <c r="A482" s="1" t="s">
        <v>460</v>
      </c>
      <c r="B482" s="1" t="s">
        <v>982</v>
      </c>
      <c r="C482">
        <v>32</v>
      </c>
      <c r="D482" s="1" t="s">
        <v>5</v>
      </c>
      <c r="E482" s="1" t="s">
        <v>566</v>
      </c>
      <c r="F482" s="2">
        <v>38971</v>
      </c>
      <c r="G482" s="3">
        <v>1500</v>
      </c>
    </row>
    <row r="483" spans="1:8" ht="15.75" x14ac:dyDescent="0.3">
      <c r="A483" s="1" t="s">
        <v>461</v>
      </c>
      <c r="B483" s="1" t="s">
        <v>983</v>
      </c>
      <c r="C483">
        <v>50</v>
      </c>
      <c r="D483" s="1" t="s">
        <v>8</v>
      </c>
      <c r="E483" s="1" t="s">
        <v>6</v>
      </c>
      <c r="F483" s="2" t="s">
        <v>559</v>
      </c>
      <c r="G483" s="3">
        <v>1500</v>
      </c>
      <c r="H483" t="s">
        <v>570</v>
      </c>
    </row>
    <row r="484" spans="1:8" ht="15.75" x14ac:dyDescent="0.3">
      <c r="A484" s="1" t="s">
        <v>462</v>
      </c>
      <c r="B484" s="1" t="s">
        <v>984</v>
      </c>
      <c r="C484" t="s">
        <v>563</v>
      </c>
      <c r="D484" s="1" t="s">
        <v>8</v>
      </c>
      <c r="E484" s="1" t="s">
        <v>6</v>
      </c>
      <c r="F484" s="2" t="s">
        <v>560</v>
      </c>
      <c r="G484" s="3">
        <v>1500</v>
      </c>
      <c r="H484" t="s">
        <v>568</v>
      </c>
    </row>
    <row r="485" spans="1:8" ht="15.75" x14ac:dyDescent="0.3">
      <c r="A485" s="1" t="s">
        <v>463</v>
      </c>
      <c r="B485" s="1" t="s">
        <v>985</v>
      </c>
      <c r="C485" t="s">
        <v>563</v>
      </c>
      <c r="D485" s="1" t="s">
        <v>565</v>
      </c>
      <c r="E485" s="1" t="s">
        <v>6</v>
      </c>
      <c r="F485" s="4">
        <v>43902</v>
      </c>
      <c r="G485" s="3">
        <v>9487.1235244924701</v>
      </c>
      <c r="H485" t="s">
        <v>568</v>
      </c>
    </row>
    <row r="486" spans="1:8" ht="15.75" x14ac:dyDescent="0.3">
      <c r="A486" s="1" t="s">
        <v>464</v>
      </c>
      <c r="B486" s="1" t="s">
        <v>986</v>
      </c>
      <c r="C486">
        <v>44</v>
      </c>
      <c r="D486" s="1" t="s">
        <v>564</v>
      </c>
      <c r="E486" s="1" t="s">
        <v>566</v>
      </c>
      <c r="F486" s="2">
        <v>41191</v>
      </c>
      <c r="G486" s="3">
        <v>9500</v>
      </c>
    </row>
    <row r="487" spans="1:8" ht="15.75" x14ac:dyDescent="0.3">
      <c r="A487" s="1" t="s">
        <v>465</v>
      </c>
      <c r="B487" s="1" t="s">
        <v>987</v>
      </c>
      <c r="D487" s="1" t="s">
        <v>564</v>
      </c>
      <c r="E487" s="1" t="s">
        <v>189</v>
      </c>
      <c r="F487" s="2">
        <v>45537</v>
      </c>
      <c r="G487" s="3">
        <v>9500</v>
      </c>
    </row>
    <row r="488" spans="1:8" ht="15.75" x14ac:dyDescent="0.3">
      <c r="A488" s="1" t="s">
        <v>466</v>
      </c>
      <c r="B488" s="1" t="s">
        <v>988</v>
      </c>
      <c r="D488" s="1" t="s">
        <v>8</v>
      </c>
      <c r="E488" s="1" t="s">
        <v>566</v>
      </c>
      <c r="F488" s="2">
        <v>30538</v>
      </c>
      <c r="G488" s="3">
        <v>9500</v>
      </c>
      <c r="H488" t="s">
        <v>571</v>
      </c>
    </row>
    <row r="489" spans="1:8" ht="15.75" x14ac:dyDescent="0.3">
      <c r="A489" s="1" t="s">
        <v>467</v>
      </c>
      <c r="B489" s="1" t="s">
        <v>989</v>
      </c>
      <c r="C489" t="s">
        <v>563</v>
      </c>
      <c r="D489" s="1" t="s">
        <v>564</v>
      </c>
      <c r="E489" s="1" t="s">
        <v>189</v>
      </c>
      <c r="F489" s="2" t="s">
        <v>561</v>
      </c>
      <c r="G489" s="3">
        <v>1500</v>
      </c>
      <c r="H489" t="s">
        <v>571</v>
      </c>
    </row>
    <row r="490" spans="1:8" ht="15.75" x14ac:dyDescent="0.3">
      <c r="A490" s="1" t="s">
        <v>468</v>
      </c>
      <c r="B490" s="1" t="s">
        <v>990</v>
      </c>
      <c r="D490" s="1" t="s">
        <v>564</v>
      </c>
      <c r="E490" s="1" t="s">
        <v>6</v>
      </c>
      <c r="F490" s="4">
        <v>44819</v>
      </c>
      <c r="G490" s="3">
        <v>1513.3436847289099</v>
      </c>
    </row>
    <row r="491" spans="1:8" ht="15.75" x14ac:dyDescent="0.3">
      <c r="A491" s="1" t="s">
        <v>469</v>
      </c>
      <c r="B491" s="1" t="s">
        <v>991</v>
      </c>
      <c r="C491" t="s">
        <v>563</v>
      </c>
      <c r="D491" s="1" t="s">
        <v>5</v>
      </c>
      <c r="E491" s="1" t="s">
        <v>566</v>
      </c>
      <c r="F491" s="2">
        <v>29742</v>
      </c>
      <c r="G491" s="3">
        <v>9475.2265321114992</v>
      </c>
      <c r="H491" t="s">
        <v>569</v>
      </c>
    </row>
    <row r="492" spans="1:8" ht="15.75" x14ac:dyDescent="0.3">
      <c r="A492" s="1" t="s">
        <v>470</v>
      </c>
      <c r="B492" s="1" t="s">
        <v>992</v>
      </c>
      <c r="D492" s="1" t="s">
        <v>57</v>
      </c>
      <c r="E492" s="1" t="s">
        <v>189</v>
      </c>
      <c r="F492" s="2">
        <v>44378</v>
      </c>
      <c r="G492" s="3">
        <v>25000</v>
      </c>
    </row>
    <row r="493" spans="1:8" ht="15.75" x14ac:dyDescent="0.3">
      <c r="A493" s="1" t="s">
        <v>470</v>
      </c>
      <c r="B493" s="1" t="s">
        <v>992</v>
      </c>
      <c r="C493" t="s">
        <v>563</v>
      </c>
      <c r="D493" s="1" t="s">
        <v>57</v>
      </c>
      <c r="E493" s="1" t="s">
        <v>189</v>
      </c>
      <c r="F493" s="2">
        <v>44378</v>
      </c>
      <c r="G493" s="3"/>
    </row>
    <row r="494" spans="1:8" ht="15.75" x14ac:dyDescent="0.3">
      <c r="A494" s="1" t="s">
        <v>470</v>
      </c>
      <c r="B494" s="1" t="s">
        <v>992</v>
      </c>
      <c r="C494" t="s">
        <v>563</v>
      </c>
      <c r="D494" s="1" t="s">
        <v>57</v>
      </c>
      <c r="E494" s="1" t="s">
        <v>189</v>
      </c>
      <c r="F494" s="2">
        <v>44378</v>
      </c>
      <c r="G494" s="3"/>
      <c r="H494" t="s">
        <v>571</v>
      </c>
    </row>
    <row r="495" spans="1:8" ht="15.75" x14ac:dyDescent="0.3">
      <c r="A495" s="1" t="s">
        <v>470</v>
      </c>
      <c r="B495" s="1" t="s">
        <v>992</v>
      </c>
      <c r="D495" s="1" t="s">
        <v>57</v>
      </c>
      <c r="E495" s="1" t="s">
        <v>189</v>
      </c>
      <c r="F495" s="2">
        <v>44378</v>
      </c>
      <c r="G495" s="3"/>
      <c r="H495" t="s">
        <v>571</v>
      </c>
    </row>
    <row r="496" spans="1:8" ht="15.75" x14ac:dyDescent="0.3">
      <c r="A496" s="1" t="s">
        <v>471</v>
      </c>
      <c r="B496" s="1" t="s">
        <v>993</v>
      </c>
      <c r="D496" s="1" t="s">
        <v>565</v>
      </c>
      <c r="E496" s="1" t="s">
        <v>189</v>
      </c>
      <c r="F496" s="4">
        <v>44316</v>
      </c>
      <c r="G496" s="3">
        <v>587.12550469514304</v>
      </c>
      <c r="H496" t="s">
        <v>569</v>
      </c>
    </row>
    <row r="497" spans="1:8" ht="15.75" x14ac:dyDescent="0.3">
      <c r="A497" s="1" t="s">
        <v>472</v>
      </c>
      <c r="B497" s="1" t="s">
        <v>994</v>
      </c>
      <c r="C497" t="s">
        <v>563</v>
      </c>
      <c r="D497" s="1" t="s">
        <v>57</v>
      </c>
      <c r="E497" s="1" t="s">
        <v>6</v>
      </c>
      <c r="F497" s="2">
        <v>45483</v>
      </c>
      <c r="G497" s="3">
        <v>9800</v>
      </c>
      <c r="H497" t="s">
        <v>569</v>
      </c>
    </row>
    <row r="498" spans="1:8" ht="15.75" x14ac:dyDescent="0.3">
      <c r="A498" s="1" t="s">
        <v>473</v>
      </c>
      <c r="B498" s="1" t="s">
        <v>995</v>
      </c>
      <c r="D498" s="1" t="s">
        <v>564</v>
      </c>
      <c r="E498" s="1" t="s">
        <v>6</v>
      </c>
      <c r="F498" s="4">
        <v>44140</v>
      </c>
      <c r="G498" s="3">
        <v>8500</v>
      </c>
      <c r="H498" t="s">
        <v>570</v>
      </c>
    </row>
    <row r="499" spans="1:8" ht="15.75" x14ac:dyDescent="0.3">
      <c r="A499" s="1" t="s">
        <v>474</v>
      </c>
      <c r="B499" s="1" t="s">
        <v>996</v>
      </c>
      <c r="C499">
        <v>47</v>
      </c>
      <c r="D499" s="1" t="s">
        <v>5</v>
      </c>
      <c r="E499" s="1" t="s">
        <v>189</v>
      </c>
      <c r="F499" s="2">
        <v>45415</v>
      </c>
      <c r="G499" s="3">
        <v>9675.4025029014301</v>
      </c>
      <c r="H499" t="s">
        <v>569</v>
      </c>
    </row>
    <row r="500" spans="1:8" ht="15.75" x14ac:dyDescent="0.3">
      <c r="A500" s="1" t="s">
        <v>475</v>
      </c>
      <c r="B500" s="1" t="s">
        <v>997</v>
      </c>
      <c r="C500" t="s">
        <v>563</v>
      </c>
      <c r="D500" s="1" t="s">
        <v>5</v>
      </c>
      <c r="E500" s="1" t="s">
        <v>189</v>
      </c>
      <c r="F500" s="2" t="s">
        <v>562</v>
      </c>
      <c r="G500" s="3">
        <v>957.29252547226599</v>
      </c>
      <c r="H500" t="s">
        <v>570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8FEF-F65E-465B-A056-B15B350D6E28}">
  <dimension ref="A1:U482"/>
  <sheetViews>
    <sheetView workbookViewId="0">
      <selection activeCell="M2" sqref="M2"/>
    </sheetView>
  </sheetViews>
  <sheetFormatPr defaultRowHeight="15" x14ac:dyDescent="0.25"/>
  <cols>
    <col min="1" max="1" width="14.42578125" customWidth="1"/>
    <col min="2" max="2" width="23" customWidth="1"/>
    <col min="3" max="3" width="6.140625" bestFit="1" customWidth="1"/>
    <col min="4" max="4" width="7.42578125" bestFit="1" customWidth="1"/>
    <col min="5" max="5" width="13.85546875" bestFit="1" customWidth="1"/>
    <col min="6" max="6" width="27" style="15" bestFit="1" customWidth="1"/>
    <col min="7" max="8" width="27" style="15" customWidth="1"/>
    <col min="9" max="9" width="23.42578125" style="7" bestFit="1" customWidth="1"/>
    <col min="10" max="10" width="23.42578125" style="7" customWidth="1"/>
    <col min="11" max="11" width="11.5703125" bestFit="1" customWidth="1"/>
    <col min="12" max="12" width="24.42578125" bestFit="1" customWidth="1"/>
    <col min="13" max="13" width="36.7109375" bestFit="1" customWidth="1"/>
    <col min="17" max="17" width="14.28515625" bestFit="1" customWidth="1"/>
  </cols>
  <sheetData>
    <row r="1" spans="1:21" s="11" customFormat="1" x14ac:dyDescent="0.25">
      <c r="A1" s="8" t="s">
        <v>1016</v>
      </c>
      <c r="B1" s="8" t="s">
        <v>0</v>
      </c>
      <c r="C1" s="9" t="s">
        <v>1</v>
      </c>
      <c r="D1" s="8" t="s">
        <v>2</v>
      </c>
      <c r="E1" s="8" t="s">
        <v>1017</v>
      </c>
      <c r="F1" s="12" t="s">
        <v>1018</v>
      </c>
      <c r="G1" s="12" t="s">
        <v>1920</v>
      </c>
      <c r="H1" s="12" t="s">
        <v>1921</v>
      </c>
      <c r="I1" s="10" t="s">
        <v>1019</v>
      </c>
      <c r="J1" s="10" t="s">
        <v>1923</v>
      </c>
      <c r="K1" s="11" t="s">
        <v>567</v>
      </c>
      <c r="L1" s="11" t="s">
        <v>1969</v>
      </c>
      <c r="M1" s="11" t="s">
        <v>1970</v>
      </c>
    </row>
    <row r="2" spans="1:21" x14ac:dyDescent="0.25">
      <c r="A2" s="1" t="s">
        <v>1020</v>
      </c>
      <c r="B2" s="1" t="s">
        <v>25</v>
      </c>
      <c r="C2">
        <v>20</v>
      </c>
      <c r="D2" s="1" t="s">
        <v>5</v>
      </c>
      <c r="E2" s="1" t="s">
        <v>189</v>
      </c>
      <c r="F2" s="13">
        <v>29463</v>
      </c>
      <c r="G2" s="13" t="str">
        <f>TEXT(F2,"DDDD")</f>
        <v>Saturday</v>
      </c>
      <c r="H2" s="13" t="str">
        <f>TEXT(F2,"MMMM")</f>
        <v>August</v>
      </c>
      <c r="I2" s="6">
        <v>9500</v>
      </c>
      <c r="J2" s="6" t="str">
        <f>IF(LEN(TRIM(I2))=0,"Not Recorded","Recorded")</f>
        <v>Recorded</v>
      </c>
      <c r="K2" t="s">
        <v>1916</v>
      </c>
      <c r="L2" t="str">
        <f>IF(I2&gt;10000,"High value","Regular")</f>
        <v>Regular</v>
      </c>
      <c r="M2" t="str">
        <f>_xlfn.XLOOKUP(A2,A:A,K:K,"Not Provided",0)</f>
        <v>South Africa</v>
      </c>
    </row>
    <row r="3" spans="1:21" x14ac:dyDescent="0.25">
      <c r="A3" s="1" t="s">
        <v>1021</v>
      </c>
      <c r="B3" s="1" t="s">
        <v>1472</v>
      </c>
      <c r="C3">
        <v>30</v>
      </c>
      <c r="D3" s="1" t="s">
        <v>8</v>
      </c>
      <c r="E3" s="1" t="s">
        <v>189</v>
      </c>
      <c r="F3" s="14">
        <v>44168</v>
      </c>
      <c r="G3" s="13" t="str">
        <f t="shared" ref="G3:G66" si="0">TEXT(F3,"DDDD")</f>
        <v>Thursday</v>
      </c>
      <c r="H3" s="13" t="str">
        <f t="shared" ref="H3:H66" si="1">TEXT(F3,"MMMM")</f>
        <v>December</v>
      </c>
      <c r="I3" s="6">
        <v>5512.8263999426299</v>
      </c>
      <c r="J3" s="6" t="str">
        <f t="shared" ref="J3:J66" si="2">IF(LEN(TRIM(I3))=0,"Not Recorded","Recorded")</f>
        <v>Recorded</v>
      </c>
      <c r="K3" t="s">
        <v>1917</v>
      </c>
      <c r="L3" t="str">
        <f>IF(I3&gt;10000,"High value","Regular")</f>
        <v>Regular</v>
      </c>
      <c r="M3" t="str">
        <f t="shared" ref="M3:M66" si="3">_xlfn.XLOOKUP(A3,A:A,K:K,"Not Provided",0)</f>
        <v>Lagos</v>
      </c>
    </row>
    <row r="4" spans="1:21" x14ac:dyDescent="0.25">
      <c r="A4" s="1" t="s">
        <v>1022</v>
      </c>
      <c r="B4" s="1" t="s">
        <v>1473</v>
      </c>
      <c r="C4">
        <v>20</v>
      </c>
      <c r="D4" s="1" t="s">
        <v>8</v>
      </c>
      <c r="E4" s="1" t="s">
        <v>189</v>
      </c>
      <c r="F4" s="13">
        <v>45346</v>
      </c>
      <c r="G4" s="13" t="str">
        <f t="shared" si="0"/>
        <v>Saturday</v>
      </c>
      <c r="H4" s="13" t="str">
        <f t="shared" si="1"/>
        <v>February</v>
      </c>
      <c r="I4" s="6">
        <v>123000</v>
      </c>
      <c r="J4" s="6" t="str">
        <f t="shared" si="2"/>
        <v>Recorded</v>
      </c>
      <c r="K4" t="s">
        <v>1917</v>
      </c>
      <c r="L4" t="str">
        <f t="shared" ref="L4:L67" si="4">IF(I4&gt;10000,"High value","Regular")</f>
        <v>High value</v>
      </c>
      <c r="M4" t="str">
        <f t="shared" si="3"/>
        <v>Lagos</v>
      </c>
    </row>
    <row r="5" spans="1:21" x14ac:dyDescent="0.25">
      <c r="A5" s="1" t="s">
        <v>1023</v>
      </c>
      <c r="B5" s="1" t="s">
        <v>1474</v>
      </c>
      <c r="C5">
        <v>61</v>
      </c>
      <c r="D5" s="1" t="s">
        <v>5</v>
      </c>
      <c r="E5" s="1" t="s">
        <v>1915</v>
      </c>
      <c r="F5" s="13">
        <v>27970</v>
      </c>
      <c r="G5" s="13" t="str">
        <f t="shared" si="0"/>
        <v>Thursday</v>
      </c>
      <c r="H5" s="13" t="str">
        <f t="shared" si="1"/>
        <v>July</v>
      </c>
      <c r="I5" s="6">
        <v>25000</v>
      </c>
      <c r="J5" s="6" t="str">
        <f t="shared" si="2"/>
        <v>Recorded</v>
      </c>
      <c r="K5" t="s">
        <v>1917</v>
      </c>
      <c r="L5" t="str">
        <f t="shared" si="4"/>
        <v>High value</v>
      </c>
      <c r="M5" t="str">
        <f t="shared" si="3"/>
        <v>Lagos</v>
      </c>
    </row>
    <row r="6" spans="1:21" x14ac:dyDescent="0.25">
      <c r="A6" s="1" t="s">
        <v>1024</v>
      </c>
      <c r="B6" s="1" t="s">
        <v>1475</v>
      </c>
      <c r="C6">
        <v>59</v>
      </c>
      <c r="D6" s="1" t="s">
        <v>8</v>
      </c>
      <c r="E6" s="1" t="s">
        <v>189</v>
      </c>
      <c r="F6" s="13">
        <v>40567</v>
      </c>
      <c r="G6" s="13" t="str">
        <f t="shared" si="0"/>
        <v>Monday</v>
      </c>
      <c r="H6" s="13" t="str">
        <f t="shared" si="1"/>
        <v>January</v>
      </c>
      <c r="I6" s="6">
        <v>430</v>
      </c>
      <c r="J6" s="6" t="str">
        <f t="shared" si="2"/>
        <v>Recorded</v>
      </c>
      <c r="K6" t="s">
        <v>1916</v>
      </c>
      <c r="L6" t="str">
        <f t="shared" si="4"/>
        <v>Regular</v>
      </c>
      <c r="M6" t="str">
        <f t="shared" si="3"/>
        <v>South Africa</v>
      </c>
    </row>
    <row r="7" spans="1:21" x14ac:dyDescent="0.25">
      <c r="A7" s="1" t="s">
        <v>1025</v>
      </c>
      <c r="B7" s="1" t="s">
        <v>1476</v>
      </c>
      <c r="C7">
        <v>20</v>
      </c>
      <c r="D7" s="1" t="s">
        <v>5</v>
      </c>
      <c r="E7" s="1" t="s">
        <v>1915</v>
      </c>
      <c r="F7" s="13">
        <v>45470</v>
      </c>
      <c r="G7" s="13" t="str">
        <f t="shared" si="0"/>
        <v>Thursday</v>
      </c>
      <c r="H7" s="13" t="str">
        <f t="shared" si="1"/>
        <v>June</v>
      </c>
      <c r="I7" s="6">
        <v>9389.9050222972492</v>
      </c>
      <c r="J7" s="6" t="str">
        <f t="shared" si="2"/>
        <v>Recorded</v>
      </c>
      <c r="K7" t="s">
        <v>1917</v>
      </c>
      <c r="L7" t="str">
        <f t="shared" si="4"/>
        <v>Regular</v>
      </c>
      <c r="M7" t="str">
        <f t="shared" si="3"/>
        <v>Lagos</v>
      </c>
      <c r="T7" t="s">
        <v>1955</v>
      </c>
      <c r="U7">
        <f>COUNTIF(L:L,T7)</f>
        <v>457</v>
      </c>
    </row>
    <row r="8" spans="1:21" x14ac:dyDescent="0.25">
      <c r="A8" s="1" t="s">
        <v>1026</v>
      </c>
      <c r="B8" s="1" t="s">
        <v>1477</v>
      </c>
      <c r="C8">
        <v>30</v>
      </c>
      <c r="D8" s="1" t="s">
        <v>8</v>
      </c>
      <c r="E8" s="1" t="s">
        <v>1915</v>
      </c>
      <c r="F8" s="14">
        <v>43665</v>
      </c>
      <c r="G8" s="13" t="str">
        <f t="shared" si="0"/>
        <v>Friday</v>
      </c>
      <c r="H8" s="13" t="str">
        <f t="shared" si="1"/>
        <v>July</v>
      </c>
      <c r="I8" s="6">
        <v>9500</v>
      </c>
      <c r="J8" s="6" t="str">
        <f t="shared" si="2"/>
        <v>Recorded</v>
      </c>
      <c r="K8" t="s">
        <v>1918</v>
      </c>
      <c r="L8" t="str">
        <f t="shared" si="4"/>
        <v>Regular</v>
      </c>
      <c r="M8" t="str">
        <f t="shared" si="3"/>
        <v>India</v>
      </c>
      <c r="Q8" s="17"/>
      <c r="T8" t="s">
        <v>1956</v>
      </c>
      <c r="U8">
        <f>COUNTIF(L:L,T8)</f>
        <v>24</v>
      </c>
    </row>
    <row r="9" spans="1:21" x14ac:dyDescent="0.25">
      <c r="A9" s="1" t="s">
        <v>1027</v>
      </c>
      <c r="B9" s="1" t="s">
        <v>1478</v>
      </c>
      <c r="C9">
        <v>20</v>
      </c>
      <c r="D9" s="1" t="s">
        <v>5</v>
      </c>
      <c r="E9" s="1" t="s">
        <v>1915</v>
      </c>
      <c r="F9" s="13">
        <v>43778</v>
      </c>
      <c r="G9" s="13" t="str">
        <f t="shared" si="0"/>
        <v>Saturday</v>
      </c>
      <c r="H9" s="13" t="str">
        <f t="shared" si="1"/>
        <v>November</v>
      </c>
      <c r="I9" s="6">
        <v>1500</v>
      </c>
      <c r="J9" s="6" t="str">
        <f t="shared" si="2"/>
        <v>Recorded</v>
      </c>
      <c r="K9" t="s">
        <v>1919</v>
      </c>
      <c r="L9" t="str">
        <f t="shared" si="4"/>
        <v>Regular</v>
      </c>
      <c r="M9" t="str">
        <f t="shared" si="3"/>
        <v>Spain</v>
      </c>
      <c r="Q9" s="17"/>
    </row>
    <row r="10" spans="1:21" x14ac:dyDescent="0.25">
      <c r="A10" s="1" t="s">
        <v>1028</v>
      </c>
      <c r="B10" s="1" t="s">
        <v>1479</v>
      </c>
      <c r="C10">
        <v>38</v>
      </c>
      <c r="D10" s="1" t="s">
        <v>8</v>
      </c>
      <c r="E10" s="1" t="s">
        <v>189</v>
      </c>
      <c r="F10" s="13">
        <v>40438</v>
      </c>
      <c r="G10" s="13" t="str">
        <f t="shared" si="0"/>
        <v>Friday</v>
      </c>
      <c r="H10" s="13" t="str">
        <f t="shared" si="1"/>
        <v>September</v>
      </c>
      <c r="I10" s="6">
        <v>1700</v>
      </c>
      <c r="J10" s="6" t="str">
        <f t="shared" si="2"/>
        <v>Recorded</v>
      </c>
      <c r="K10" t="s">
        <v>1917</v>
      </c>
      <c r="L10" t="str">
        <f t="shared" si="4"/>
        <v>Regular</v>
      </c>
      <c r="M10" t="str">
        <f t="shared" si="3"/>
        <v>Lagos</v>
      </c>
    </row>
    <row r="11" spans="1:21" x14ac:dyDescent="0.25">
      <c r="A11" s="1" t="s">
        <v>1029</v>
      </c>
      <c r="B11" s="1" t="s">
        <v>1480</v>
      </c>
      <c r="C11">
        <v>20</v>
      </c>
      <c r="D11" s="1" t="s">
        <v>8</v>
      </c>
      <c r="E11" s="1" t="s">
        <v>189</v>
      </c>
      <c r="F11" s="13">
        <v>36780</v>
      </c>
      <c r="G11" s="13" t="str">
        <f t="shared" si="0"/>
        <v>Monday</v>
      </c>
      <c r="H11" s="13" t="str">
        <f t="shared" si="1"/>
        <v>September</v>
      </c>
      <c r="I11" s="6">
        <v>45000</v>
      </c>
      <c r="J11" s="6" t="str">
        <f t="shared" si="2"/>
        <v>Recorded</v>
      </c>
      <c r="K11" t="s">
        <v>1922</v>
      </c>
      <c r="L11" t="str">
        <f t="shared" si="4"/>
        <v>High value</v>
      </c>
      <c r="M11" t="str">
        <f t="shared" si="3"/>
        <v>Not Provided</v>
      </c>
    </row>
    <row r="12" spans="1:21" x14ac:dyDescent="0.25">
      <c r="A12" s="1" t="s">
        <v>1030</v>
      </c>
      <c r="B12" s="1" t="s">
        <v>1481</v>
      </c>
      <c r="C12">
        <v>30</v>
      </c>
      <c r="D12" s="1" t="s">
        <v>5</v>
      </c>
      <c r="E12" s="1" t="s">
        <v>189</v>
      </c>
      <c r="F12" s="13">
        <v>45526</v>
      </c>
      <c r="G12" s="13" t="str">
        <f t="shared" si="0"/>
        <v>Thursday</v>
      </c>
      <c r="H12" s="13" t="str">
        <f t="shared" si="1"/>
        <v>August</v>
      </c>
      <c r="I12" s="6">
        <v>9500</v>
      </c>
      <c r="J12" s="6" t="str">
        <f t="shared" si="2"/>
        <v>Recorded</v>
      </c>
      <c r="K12" t="s">
        <v>1918</v>
      </c>
      <c r="L12" t="str">
        <f t="shared" si="4"/>
        <v>Regular</v>
      </c>
      <c r="M12" t="str">
        <f t="shared" si="3"/>
        <v>India</v>
      </c>
    </row>
    <row r="13" spans="1:21" x14ac:dyDescent="0.25">
      <c r="A13" s="1" t="s">
        <v>1031</v>
      </c>
      <c r="B13" s="1" t="s">
        <v>1482</v>
      </c>
      <c r="C13">
        <v>20</v>
      </c>
      <c r="D13" s="1" t="s">
        <v>5</v>
      </c>
      <c r="E13" s="1" t="s">
        <v>1915</v>
      </c>
      <c r="F13" s="13">
        <v>45492</v>
      </c>
      <c r="G13" s="13" t="str">
        <f t="shared" si="0"/>
        <v>Friday</v>
      </c>
      <c r="H13" s="13" t="str">
        <f t="shared" si="1"/>
        <v>July</v>
      </c>
      <c r="I13" s="6">
        <v>9821.6898489904106</v>
      </c>
      <c r="J13" s="6" t="str">
        <f t="shared" si="2"/>
        <v>Recorded</v>
      </c>
      <c r="K13" t="s">
        <v>1922</v>
      </c>
      <c r="L13" t="str">
        <f t="shared" si="4"/>
        <v>Regular</v>
      </c>
      <c r="M13" t="str">
        <f t="shared" si="3"/>
        <v>Not Provided</v>
      </c>
    </row>
    <row r="14" spans="1:21" x14ac:dyDescent="0.25">
      <c r="A14" s="1" t="s">
        <v>1032</v>
      </c>
      <c r="B14" s="1" t="s">
        <v>1483</v>
      </c>
      <c r="C14">
        <v>51</v>
      </c>
      <c r="D14" s="1" t="s">
        <v>5</v>
      </c>
      <c r="E14" s="1" t="s">
        <v>1915</v>
      </c>
      <c r="F14" s="13">
        <v>43540</v>
      </c>
      <c r="G14" s="13" t="str">
        <f t="shared" si="0"/>
        <v>Saturday</v>
      </c>
      <c r="H14" s="13" t="str">
        <f t="shared" si="1"/>
        <v>March</v>
      </c>
      <c r="I14" s="6">
        <v>2500</v>
      </c>
      <c r="J14" s="6" t="str">
        <f t="shared" si="2"/>
        <v>Recorded</v>
      </c>
      <c r="K14" t="s">
        <v>1916</v>
      </c>
      <c r="L14" t="str">
        <f t="shared" si="4"/>
        <v>Regular</v>
      </c>
      <c r="M14" t="str">
        <f t="shared" si="3"/>
        <v>South Africa</v>
      </c>
    </row>
    <row r="15" spans="1:21" x14ac:dyDescent="0.25">
      <c r="A15" s="1" t="s">
        <v>1033</v>
      </c>
      <c r="B15" s="1" t="s">
        <v>1484</v>
      </c>
      <c r="C15">
        <v>20</v>
      </c>
      <c r="D15" s="1" t="s">
        <v>5</v>
      </c>
      <c r="E15" s="1" t="s">
        <v>189</v>
      </c>
      <c r="F15" s="13">
        <v>37485</v>
      </c>
      <c r="G15" s="13" t="str">
        <f t="shared" si="0"/>
        <v>Saturday</v>
      </c>
      <c r="H15" s="13" t="str">
        <f t="shared" si="1"/>
        <v>August</v>
      </c>
      <c r="I15" s="6">
        <v>29370</v>
      </c>
      <c r="J15" s="6" t="str">
        <f t="shared" si="2"/>
        <v>Recorded</v>
      </c>
      <c r="K15" t="s">
        <v>1918</v>
      </c>
      <c r="L15" t="str">
        <f t="shared" si="4"/>
        <v>High value</v>
      </c>
      <c r="M15" t="str">
        <f t="shared" si="3"/>
        <v>India</v>
      </c>
    </row>
    <row r="16" spans="1:21" x14ac:dyDescent="0.25">
      <c r="A16" s="1" t="s">
        <v>1034</v>
      </c>
      <c r="B16" s="1" t="s">
        <v>1485</v>
      </c>
      <c r="C16">
        <v>20</v>
      </c>
      <c r="D16" s="1" t="s">
        <v>8</v>
      </c>
      <c r="E16" s="1" t="s">
        <v>189</v>
      </c>
      <c r="F16" s="13">
        <v>37659</v>
      </c>
      <c r="G16" s="13" t="str">
        <f t="shared" si="0"/>
        <v>Friday</v>
      </c>
      <c r="H16" s="13" t="str">
        <f t="shared" si="1"/>
        <v>February</v>
      </c>
      <c r="I16" s="6">
        <v>242.10715510196599</v>
      </c>
      <c r="J16" s="6" t="str">
        <f t="shared" si="2"/>
        <v>Recorded</v>
      </c>
      <c r="K16" t="s">
        <v>1919</v>
      </c>
      <c r="L16" t="str">
        <f t="shared" si="4"/>
        <v>Regular</v>
      </c>
      <c r="M16" t="str">
        <f t="shared" si="3"/>
        <v>Spain</v>
      </c>
    </row>
    <row r="17" spans="1:13" x14ac:dyDescent="0.25">
      <c r="A17" s="1" t="s">
        <v>1035</v>
      </c>
      <c r="B17" s="1" t="s">
        <v>1486</v>
      </c>
      <c r="C17">
        <v>30</v>
      </c>
      <c r="D17" s="1" t="s">
        <v>5</v>
      </c>
      <c r="E17" s="1" t="s">
        <v>189</v>
      </c>
      <c r="F17" s="13">
        <v>45628</v>
      </c>
      <c r="G17" s="13" t="str">
        <f t="shared" si="0"/>
        <v>Monday</v>
      </c>
      <c r="H17" s="13" t="str">
        <f t="shared" si="1"/>
        <v>December</v>
      </c>
      <c r="I17" s="6">
        <v>4148.4602702345501</v>
      </c>
      <c r="J17" s="6" t="str">
        <f t="shared" si="2"/>
        <v>Recorded</v>
      </c>
      <c r="K17" t="s">
        <v>1916</v>
      </c>
      <c r="L17" t="str">
        <f t="shared" si="4"/>
        <v>Regular</v>
      </c>
      <c r="M17" t="str">
        <f t="shared" si="3"/>
        <v>South Africa</v>
      </c>
    </row>
    <row r="18" spans="1:13" x14ac:dyDescent="0.25">
      <c r="A18" s="1" t="s">
        <v>1036</v>
      </c>
      <c r="B18" s="1" t="s">
        <v>1487</v>
      </c>
      <c r="C18">
        <v>20</v>
      </c>
      <c r="D18" s="1" t="s">
        <v>8</v>
      </c>
      <c r="E18" s="1" t="s">
        <v>1915</v>
      </c>
      <c r="F18" s="14">
        <v>44037</v>
      </c>
      <c r="G18" s="13" t="str">
        <f t="shared" si="0"/>
        <v>Saturday</v>
      </c>
      <c r="H18" s="13" t="str">
        <f t="shared" si="1"/>
        <v>July</v>
      </c>
      <c r="I18" s="6">
        <v>8326.3702513058906</v>
      </c>
      <c r="J18" s="6" t="str">
        <f t="shared" si="2"/>
        <v>Recorded</v>
      </c>
      <c r="K18" t="s">
        <v>1916</v>
      </c>
      <c r="L18" t="str">
        <f t="shared" si="4"/>
        <v>Regular</v>
      </c>
      <c r="M18" t="str">
        <f t="shared" si="3"/>
        <v>South Africa</v>
      </c>
    </row>
    <row r="19" spans="1:13" x14ac:dyDescent="0.25">
      <c r="A19" s="1" t="s">
        <v>1037</v>
      </c>
      <c r="B19" s="1" t="s">
        <v>1488</v>
      </c>
      <c r="C19">
        <v>20</v>
      </c>
      <c r="D19" s="1" t="s">
        <v>5</v>
      </c>
      <c r="E19" s="1" t="s">
        <v>189</v>
      </c>
      <c r="F19" s="14">
        <v>44369</v>
      </c>
      <c r="G19" s="13" t="str">
        <f t="shared" si="0"/>
        <v>Tuesday</v>
      </c>
      <c r="H19" s="13" t="str">
        <f t="shared" si="1"/>
        <v>June</v>
      </c>
      <c r="I19" s="6">
        <v>9500</v>
      </c>
      <c r="J19" s="6" t="str">
        <f t="shared" si="2"/>
        <v>Recorded</v>
      </c>
      <c r="K19" t="s">
        <v>1918</v>
      </c>
      <c r="L19" t="str">
        <f t="shared" si="4"/>
        <v>Regular</v>
      </c>
      <c r="M19" t="str">
        <f t="shared" si="3"/>
        <v>India</v>
      </c>
    </row>
    <row r="20" spans="1:13" x14ac:dyDescent="0.25">
      <c r="A20" s="1" t="s">
        <v>1038</v>
      </c>
      <c r="B20" s="1" t="s">
        <v>1489</v>
      </c>
      <c r="C20">
        <v>20</v>
      </c>
      <c r="D20" s="1" t="s">
        <v>5</v>
      </c>
      <c r="E20" s="1" t="s">
        <v>1915</v>
      </c>
      <c r="F20" s="13">
        <v>41324</v>
      </c>
      <c r="G20" s="13" t="str">
        <f t="shared" si="0"/>
        <v>Tuesday</v>
      </c>
      <c r="H20" s="13" t="str">
        <f t="shared" si="1"/>
        <v>February</v>
      </c>
      <c r="I20" s="6">
        <v>1500</v>
      </c>
      <c r="J20" s="6" t="str">
        <f t="shared" si="2"/>
        <v>Recorded</v>
      </c>
      <c r="K20" t="s">
        <v>1916</v>
      </c>
      <c r="L20" t="str">
        <f t="shared" si="4"/>
        <v>Regular</v>
      </c>
      <c r="M20" t="str">
        <f t="shared" si="3"/>
        <v>South Africa</v>
      </c>
    </row>
    <row r="21" spans="1:13" ht="15.75" x14ac:dyDescent="0.3">
      <c r="A21" s="1" t="s">
        <v>1039</v>
      </c>
      <c r="B21" s="1" t="s">
        <v>1490</v>
      </c>
      <c r="C21">
        <v>32</v>
      </c>
      <c r="D21" s="1" t="s">
        <v>8</v>
      </c>
      <c r="E21" s="1" t="s">
        <v>1915</v>
      </c>
      <c r="F21" s="13">
        <v>37736</v>
      </c>
      <c r="G21" s="13" t="str">
        <f t="shared" si="0"/>
        <v>Friday</v>
      </c>
      <c r="H21" s="13" t="str">
        <f t="shared" si="1"/>
        <v>April</v>
      </c>
      <c r="I21" s="6">
        <v>9600</v>
      </c>
      <c r="J21" s="6" t="str">
        <f t="shared" si="2"/>
        <v>Recorded</v>
      </c>
      <c r="K21" t="s">
        <v>1919</v>
      </c>
      <c r="L21" t="str">
        <f t="shared" si="4"/>
        <v>Regular</v>
      </c>
      <c r="M21" t="str">
        <f t="shared" si="3"/>
        <v>Spain</v>
      </c>
    </row>
    <row r="22" spans="1:13" ht="15.75" x14ac:dyDescent="0.3">
      <c r="A22" s="1" t="s">
        <v>1040</v>
      </c>
      <c r="B22" s="1" t="s">
        <v>1491</v>
      </c>
      <c r="C22">
        <v>46</v>
      </c>
      <c r="D22" s="1" t="s">
        <v>8</v>
      </c>
      <c r="E22" s="1" t="s">
        <v>189</v>
      </c>
      <c r="F22" s="13">
        <v>45508</v>
      </c>
      <c r="G22" s="13" t="str">
        <f t="shared" si="0"/>
        <v>Sunday</v>
      </c>
      <c r="H22" s="13" t="str">
        <f t="shared" si="1"/>
        <v>August</v>
      </c>
      <c r="I22" s="6">
        <v>9500</v>
      </c>
      <c r="J22" s="6" t="str">
        <f t="shared" si="2"/>
        <v>Recorded</v>
      </c>
      <c r="K22" t="s">
        <v>1916</v>
      </c>
      <c r="L22" t="str">
        <f t="shared" si="4"/>
        <v>Regular</v>
      </c>
      <c r="M22" t="str">
        <f t="shared" si="3"/>
        <v>South Africa</v>
      </c>
    </row>
    <row r="23" spans="1:13" ht="15.75" x14ac:dyDescent="0.3">
      <c r="A23" s="1" t="s">
        <v>1041</v>
      </c>
      <c r="B23" s="1" t="s">
        <v>1492</v>
      </c>
      <c r="C23">
        <v>30</v>
      </c>
      <c r="D23" s="1" t="s">
        <v>8</v>
      </c>
      <c r="E23" s="1" t="s">
        <v>189</v>
      </c>
      <c r="F23" s="14">
        <v>43599</v>
      </c>
      <c r="G23" s="13" t="str">
        <f t="shared" si="0"/>
        <v>Tuesday</v>
      </c>
      <c r="H23" s="13" t="str">
        <f t="shared" si="1"/>
        <v>May</v>
      </c>
      <c r="I23" s="6">
        <v>1500</v>
      </c>
      <c r="J23" s="6" t="str">
        <f t="shared" si="2"/>
        <v>Recorded</v>
      </c>
      <c r="K23" t="s">
        <v>1922</v>
      </c>
      <c r="L23" t="str">
        <f t="shared" si="4"/>
        <v>Regular</v>
      </c>
      <c r="M23" t="str">
        <f t="shared" si="3"/>
        <v>Not Provided</v>
      </c>
    </row>
    <row r="24" spans="1:13" ht="15.75" x14ac:dyDescent="0.3">
      <c r="A24" s="1" t="s">
        <v>1042</v>
      </c>
      <c r="B24" s="1" t="s">
        <v>1493</v>
      </c>
      <c r="C24">
        <v>20</v>
      </c>
      <c r="D24" s="1" t="s">
        <v>5</v>
      </c>
      <c r="E24" s="1" t="s">
        <v>1915</v>
      </c>
      <c r="F24" s="14">
        <v>43842</v>
      </c>
      <c r="G24" s="13" t="str">
        <f t="shared" si="0"/>
        <v>Sunday</v>
      </c>
      <c r="H24" s="13" t="str">
        <f t="shared" si="1"/>
        <v>January</v>
      </c>
      <c r="I24" s="6">
        <v>8846.8605197051202</v>
      </c>
      <c r="J24" s="6" t="str">
        <f t="shared" si="2"/>
        <v>Recorded</v>
      </c>
      <c r="K24" t="s">
        <v>1918</v>
      </c>
      <c r="L24" t="str">
        <f t="shared" si="4"/>
        <v>Regular</v>
      </c>
      <c r="M24" t="str">
        <f t="shared" si="3"/>
        <v>India</v>
      </c>
    </row>
    <row r="25" spans="1:13" ht="15.75" x14ac:dyDescent="0.3">
      <c r="A25" s="1" t="s">
        <v>1043</v>
      </c>
      <c r="B25" s="1" t="s">
        <v>1494</v>
      </c>
      <c r="C25">
        <v>47</v>
      </c>
      <c r="D25" s="1" t="s">
        <v>8</v>
      </c>
      <c r="E25" s="1" t="s">
        <v>189</v>
      </c>
      <c r="F25" s="13">
        <v>26680</v>
      </c>
      <c r="G25" s="13" t="str">
        <f t="shared" si="0"/>
        <v>Tuesday</v>
      </c>
      <c r="H25" s="13" t="str">
        <f t="shared" si="1"/>
        <v>January</v>
      </c>
      <c r="I25" s="6">
        <v>23000</v>
      </c>
      <c r="J25" s="6" t="str">
        <f t="shared" si="2"/>
        <v>Recorded</v>
      </c>
      <c r="K25" t="s">
        <v>1916</v>
      </c>
      <c r="L25" t="str">
        <f t="shared" si="4"/>
        <v>High value</v>
      </c>
      <c r="M25" t="str">
        <f t="shared" si="3"/>
        <v>South Africa</v>
      </c>
    </row>
    <row r="26" spans="1:13" ht="15.75" x14ac:dyDescent="0.3">
      <c r="A26" s="1" t="s">
        <v>1044</v>
      </c>
      <c r="B26" s="1" t="s">
        <v>1495</v>
      </c>
      <c r="C26">
        <v>20</v>
      </c>
      <c r="D26" s="1" t="s">
        <v>5</v>
      </c>
      <c r="E26" s="1" t="s">
        <v>189</v>
      </c>
      <c r="F26" s="13">
        <v>45494</v>
      </c>
      <c r="G26" s="13" t="str">
        <f t="shared" si="0"/>
        <v>Sunday</v>
      </c>
      <c r="H26" s="13" t="str">
        <f t="shared" si="1"/>
        <v>July</v>
      </c>
      <c r="I26" s="6">
        <v>5261.0190876246797</v>
      </c>
      <c r="J26" s="6" t="str">
        <f t="shared" si="2"/>
        <v>Recorded</v>
      </c>
      <c r="K26" t="s">
        <v>1922</v>
      </c>
      <c r="L26" t="str">
        <f t="shared" si="4"/>
        <v>Regular</v>
      </c>
      <c r="M26" t="str">
        <f t="shared" si="3"/>
        <v>Not Provided</v>
      </c>
    </row>
    <row r="27" spans="1:13" ht="15.75" x14ac:dyDescent="0.3">
      <c r="A27" s="1" t="s">
        <v>1045</v>
      </c>
      <c r="B27" s="1" t="s">
        <v>21</v>
      </c>
      <c r="C27">
        <v>20</v>
      </c>
      <c r="D27" s="1" t="s">
        <v>5</v>
      </c>
      <c r="E27" s="1" t="s">
        <v>189</v>
      </c>
      <c r="F27" s="13">
        <v>45278</v>
      </c>
      <c r="G27" s="13" t="str">
        <f t="shared" si="0"/>
        <v>Monday</v>
      </c>
      <c r="H27" s="13" t="str">
        <f t="shared" si="1"/>
        <v>December</v>
      </c>
      <c r="I27" s="6">
        <v>1500</v>
      </c>
      <c r="J27" s="6" t="str">
        <f t="shared" si="2"/>
        <v>Recorded</v>
      </c>
      <c r="K27" t="s">
        <v>1916</v>
      </c>
      <c r="L27" t="str">
        <f t="shared" si="4"/>
        <v>Regular</v>
      </c>
      <c r="M27" t="str">
        <f t="shared" si="3"/>
        <v>South Africa</v>
      </c>
    </row>
    <row r="28" spans="1:13" ht="15.75" x14ac:dyDescent="0.3">
      <c r="A28" s="1" t="s">
        <v>1046</v>
      </c>
      <c r="B28" s="1" t="s">
        <v>23</v>
      </c>
      <c r="C28">
        <v>58</v>
      </c>
      <c r="D28" s="1" t="s">
        <v>8</v>
      </c>
      <c r="E28" s="1" t="s">
        <v>189</v>
      </c>
      <c r="F28" s="13">
        <v>43735</v>
      </c>
      <c r="G28" s="13" t="str">
        <f t="shared" si="0"/>
        <v>Friday</v>
      </c>
      <c r="H28" s="13" t="str">
        <f t="shared" si="1"/>
        <v>September</v>
      </c>
      <c r="I28" s="6">
        <v>899.65041589135501</v>
      </c>
      <c r="J28" s="6" t="str">
        <f t="shared" si="2"/>
        <v>Recorded</v>
      </c>
      <c r="K28" t="s">
        <v>1917</v>
      </c>
      <c r="L28" t="str">
        <f t="shared" si="4"/>
        <v>Regular</v>
      </c>
      <c r="M28" t="str">
        <f t="shared" si="3"/>
        <v>Lagos</v>
      </c>
    </row>
    <row r="29" spans="1:13" ht="15.75" x14ac:dyDescent="0.3">
      <c r="A29" s="1" t="s">
        <v>1047</v>
      </c>
      <c r="B29" s="1" t="s">
        <v>29</v>
      </c>
      <c r="C29">
        <v>26</v>
      </c>
      <c r="D29" s="1" t="s">
        <v>8</v>
      </c>
      <c r="E29" s="1" t="s">
        <v>1915</v>
      </c>
      <c r="F29" s="14">
        <v>43740</v>
      </c>
      <c r="G29" s="13" t="str">
        <f t="shared" si="0"/>
        <v>Wednesday</v>
      </c>
      <c r="H29" s="13" t="str">
        <f t="shared" si="1"/>
        <v>October</v>
      </c>
      <c r="I29" s="6">
        <v>1500</v>
      </c>
      <c r="J29" s="6" t="str">
        <f t="shared" si="2"/>
        <v>Recorded</v>
      </c>
      <c r="K29" t="s">
        <v>1917</v>
      </c>
      <c r="L29" t="str">
        <f t="shared" si="4"/>
        <v>Regular</v>
      </c>
      <c r="M29" t="str">
        <f t="shared" si="3"/>
        <v>Lagos</v>
      </c>
    </row>
    <row r="30" spans="1:13" ht="15.75" x14ac:dyDescent="0.3">
      <c r="A30" s="1" t="s">
        <v>1047</v>
      </c>
      <c r="B30" s="1" t="s">
        <v>29</v>
      </c>
      <c r="C30">
        <v>30</v>
      </c>
      <c r="D30" s="1" t="s">
        <v>8</v>
      </c>
      <c r="E30" s="1" t="s">
        <v>1915</v>
      </c>
      <c r="F30" s="13">
        <v>38266</v>
      </c>
      <c r="G30" s="13" t="str">
        <f t="shared" si="0"/>
        <v>Wednesday</v>
      </c>
      <c r="H30" s="13" t="str">
        <f t="shared" si="1"/>
        <v>October</v>
      </c>
      <c r="I30" s="6">
        <v>1500</v>
      </c>
      <c r="J30" s="6" t="str">
        <f t="shared" si="2"/>
        <v>Recorded</v>
      </c>
      <c r="K30" t="s">
        <v>1922</v>
      </c>
      <c r="L30" t="str">
        <f t="shared" si="4"/>
        <v>Regular</v>
      </c>
      <c r="M30" t="str">
        <f t="shared" si="3"/>
        <v>Lagos</v>
      </c>
    </row>
    <row r="31" spans="1:13" ht="15.75" x14ac:dyDescent="0.3">
      <c r="A31" s="1" t="s">
        <v>1048</v>
      </c>
      <c r="B31" s="1" t="s">
        <v>32</v>
      </c>
      <c r="C31">
        <v>20</v>
      </c>
      <c r="D31" s="1" t="s">
        <v>5</v>
      </c>
      <c r="E31" s="1" t="s">
        <v>1915</v>
      </c>
      <c r="F31" s="14">
        <v>44033</v>
      </c>
      <c r="G31" s="13" t="str">
        <f t="shared" si="0"/>
        <v>Tuesday</v>
      </c>
      <c r="H31" s="13" t="str">
        <f t="shared" si="1"/>
        <v>July</v>
      </c>
      <c r="I31" s="6">
        <v>9500</v>
      </c>
      <c r="J31" s="6" t="str">
        <f t="shared" si="2"/>
        <v>Recorded</v>
      </c>
      <c r="K31" t="s">
        <v>1918</v>
      </c>
      <c r="L31" t="str">
        <f t="shared" si="4"/>
        <v>Regular</v>
      </c>
      <c r="M31" t="str">
        <f t="shared" si="3"/>
        <v>India</v>
      </c>
    </row>
    <row r="32" spans="1:13" ht="15.75" x14ac:dyDescent="0.3">
      <c r="A32" s="1" t="s">
        <v>1049</v>
      </c>
      <c r="B32" s="1" t="s">
        <v>34</v>
      </c>
      <c r="C32">
        <v>20</v>
      </c>
      <c r="D32" s="1" t="s">
        <v>8</v>
      </c>
      <c r="E32" s="1" t="s">
        <v>1915</v>
      </c>
      <c r="F32" s="13">
        <v>44845</v>
      </c>
      <c r="G32" s="13" t="str">
        <f t="shared" si="0"/>
        <v>Tuesday</v>
      </c>
      <c r="H32" s="13" t="str">
        <f t="shared" si="1"/>
        <v>October</v>
      </c>
      <c r="I32" s="6">
        <v>356.91702389710002</v>
      </c>
      <c r="J32" s="6" t="str">
        <f t="shared" si="2"/>
        <v>Recorded</v>
      </c>
      <c r="K32" t="s">
        <v>1922</v>
      </c>
      <c r="L32" t="str">
        <f t="shared" si="4"/>
        <v>Regular</v>
      </c>
      <c r="M32" t="str">
        <f t="shared" si="3"/>
        <v>Not Provided</v>
      </c>
    </row>
    <row r="33" spans="1:13" ht="15.75" x14ac:dyDescent="0.3">
      <c r="A33" s="1" t="s">
        <v>1050</v>
      </c>
      <c r="B33" s="1" t="s">
        <v>1496</v>
      </c>
      <c r="C33">
        <v>39</v>
      </c>
      <c r="D33" s="1" t="s">
        <v>8</v>
      </c>
      <c r="E33" s="1" t="s">
        <v>1915</v>
      </c>
      <c r="F33" s="13">
        <v>34142</v>
      </c>
      <c r="G33" s="13" t="str">
        <f t="shared" si="0"/>
        <v>Tuesday</v>
      </c>
      <c r="H33" s="13" t="str">
        <f t="shared" si="1"/>
        <v>June</v>
      </c>
      <c r="I33" s="6">
        <v>9500</v>
      </c>
      <c r="J33" s="6" t="str">
        <f t="shared" si="2"/>
        <v>Recorded</v>
      </c>
      <c r="K33" t="s">
        <v>1922</v>
      </c>
      <c r="L33" t="str">
        <f t="shared" si="4"/>
        <v>Regular</v>
      </c>
      <c r="M33" t="str">
        <f t="shared" si="3"/>
        <v>Not Provided</v>
      </c>
    </row>
    <row r="34" spans="1:13" ht="15.75" x14ac:dyDescent="0.3">
      <c r="A34" s="1" t="s">
        <v>1051</v>
      </c>
      <c r="B34" s="1" t="s">
        <v>38</v>
      </c>
      <c r="C34">
        <v>20</v>
      </c>
      <c r="D34" s="1" t="s">
        <v>5</v>
      </c>
      <c r="E34" s="1" t="s">
        <v>189</v>
      </c>
      <c r="F34" s="13">
        <v>31659</v>
      </c>
      <c r="G34" s="13" t="str">
        <f t="shared" si="0"/>
        <v>Thursday</v>
      </c>
      <c r="H34" s="13" t="str">
        <f t="shared" si="1"/>
        <v>September</v>
      </c>
      <c r="I34" s="6">
        <v>1000</v>
      </c>
      <c r="J34" s="6" t="str">
        <f t="shared" si="2"/>
        <v>Recorded</v>
      </c>
      <c r="K34" t="s">
        <v>1917</v>
      </c>
      <c r="L34" t="str">
        <f t="shared" si="4"/>
        <v>Regular</v>
      </c>
      <c r="M34" t="str">
        <f t="shared" si="3"/>
        <v>Lagos</v>
      </c>
    </row>
    <row r="35" spans="1:13" ht="15.75" x14ac:dyDescent="0.3">
      <c r="A35" s="1" t="s">
        <v>1052</v>
      </c>
      <c r="B35" s="1" t="s">
        <v>1497</v>
      </c>
      <c r="C35">
        <v>41</v>
      </c>
      <c r="D35" s="1" t="s">
        <v>8</v>
      </c>
      <c r="E35" s="1" t="s">
        <v>1915</v>
      </c>
      <c r="F35" s="14">
        <v>44058</v>
      </c>
      <c r="G35" s="13" t="str">
        <f t="shared" si="0"/>
        <v>Saturday</v>
      </c>
      <c r="H35" s="13" t="str">
        <f t="shared" si="1"/>
        <v>August</v>
      </c>
      <c r="I35" s="6">
        <v>1500</v>
      </c>
      <c r="J35" s="6" t="str">
        <f t="shared" si="2"/>
        <v>Recorded</v>
      </c>
      <c r="K35" t="s">
        <v>1919</v>
      </c>
      <c r="L35" t="str">
        <f t="shared" si="4"/>
        <v>Regular</v>
      </c>
      <c r="M35" t="str">
        <f t="shared" si="3"/>
        <v>Spain</v>
      </c>
    </row>
    <row r="36" spans="1:13" ht="15.75" x14ac:dyDescent="0.3">
      <c r="A36" s="1" t="s">
        <v>1053</v>
      </c>
      <c r="B36" s="1" t="s">
        <v>42</v>
      </c>
      <c r="C36">
        <v>34</v>
      </c>
      <c r="D36" s="1" t="s">
        <v>5</v>
      </c>
      <c r="E36" s="1" t="s">
        <v>189</v>
      </c>
      <c r="F36" s="14">
        <v>43415</v>
      </c>
      <c r="G36" s="13" t="str">
        <f t="shared" si="0"/>
        <v>Sunday</v>
      </c>
      <c r="H36" s="13" t="str">
        <f t="shared" si="1"/>
        <v>November</v>
      </c>
      <c r="I36" s="6">
        <v>9500</v>
      </c>
      <c r="J36" s="6" t="str">
        <f t="shared" si="2"/>
        <v>Recorded</v>
      </c>
      <c r="K36" t="s">
        <v>1922</v>
      </c>
      <c r="L36" t="str">
        <f t="shared" si="4"/>
        <v>Regular</v>
      </c>
      <c r="M36" t="str">
        <f t="shared" si="3"/>
        <v>Not Provided</v>
      </c>
    </row>
    <row r="37" spans="1:13" ht="15.75" x14ac:dyDescent="0.3">
      <c r="A37" s="1" t="s">
        <v>1054</v>
      </c>
      <c r="B37" s="1" t="s">
        <v>44</v>
      </c>
      <c r="C37">
        <v>30</v>
      </c>
      <c r="D37" s="1" t="s">
        <v>8</v>
      </c>
      <c r="E37" s="1" t="s">
        <v>189</v>
      </c>
      <c r="F37" s="13">
        <v>45562</v>
      </c>
      <c r="G37" s="13" t="str">
        <f t="shared" si="0"/>
        <v>Friday</v>
      </c>
      <c r="H37" s="13" t="str">
        <f t="shared" si="1"/>
        <v>September</v>
      </c>
      <c r="I37" s="6">
        <v>5000</v>
      </c>
      <c r="J37" s="6" t="str">
        <f t="shared" si="2"/>
        <v>Recorded</v>
      </c>
      <c r="K37" t="s">
        <v>1919</v>
      </c>
      <c r="L37" t="str">
        <f t="shared" si="4"/>
        <v>Regular</v>
      </c>
      <c r="M37" t="str">
        <f t="shared" si="3"/>
        <v>Spain</v>
      </c>
    </row>
    <row r="38" spans="1:13" ht="15.75" x14ac:dyDescent="0.3">
      <c r="A38" s="1" t="s">
        <v>1055</v>
      </c>
      <c r="B38" s="1" t="s">
        <v>46</v>
      </c>
      <c r="C38">
        <v>30</v>
      </c>
      <c r="D38" s="1" t="s">
        <v>8</v>
      </c>
      <c r="E38" s="1" t="s">
        <v>1915</v>
      </c>
      <c r="F38" s="14">
        <v>43740</v>
      </c>
      <c r="G38" s="13" t="str">
        <f t="shared" si="0"/>
        <v>Wednesday</v>
      </c>
      <c r="H38" s="13" t="str">
        <f t="shared" si="1"/>
        <v>October</v>
      </c>
      <c r="I38" s="6">
        <v>9500</v>
      </c>
      <c r="J38" s="6" t="str">
        <f t="shared" si="2"/>
        <v>Recorded</v>
      </c>
      <c r="K38" t="s">
        <v>1917</v>
      </c>
      <c r="L38" t="str">
        <f t="shared" si="4"/>
        <v>Regular</v>
      </c>
      <c r="M38" t="str">
        <f t="shared" si="3"/>
        <v>Lagos</v>
      </c>
    </row>
    <row r="39" spans="1:13" ht="15.75" x14ac:dyDescent="0.3">
      <c r="A39" s="1" t="s">
        <v>1056</v>
      </c>
      <c r="B39" s="1" t="s">
        <v>1498</v>
      </c>
      <c r="C39">
        <v>64</v>
      </c>
      <c r="D39" s="1" t="s">
        <v>8</v>
      </c>
      <c r="E39" s="1" t="s">
        <v>1915</v>
      </c>
      <c r="F39" s="13">
        <v>37130</v>
      </c>
      <c r="G39" s="13" t="str">
        <f t="shared" si="0"/>
        <v>Monday</v>
      </c>
      <c r="H39" s="13" t="str">
        <f t="shared" si="1"/>
        <v>August</v>
      </c>
      <c r="I39" s="6">
        <v>1500</v>
      </c>
      <c r="J39" s="6" t="str">
        <f t="shared" si="2"/>
        <v>Recorded</v>
      </c>
      <c r="K39" t="s">
        <v>1916</v>
      </c>
      <c r="L39" t="str">
        <f t="shared" si="4"/>
        <v>Regular</v>
      </c>
      <c r="M39" t="str">
        <f t="shared" si="3"/>
        <v>South Africa</v>
      </c>
    </row>
    <row r="40" spans="1:13" ht="15.75" x14ac:dyDescent="0.3">
      <c r="A40" s="1" t="s">
        <v>1057</v>
      </c>
      <c r="B40" s="1" t="s">
        <v>1499</v>
      </c>
      <c r="C40">
        <v>20</v>
      </c>
      <c r="D40" s="1" t="s">
        <v>5</v>
      </c>
      <c r="E40" s="1" t="s">
        <v>1915</v>
      </c>
      <c r="F40" s="13">
        <v>43129</v>
      </c>
      <c r="G40" s="13" t="str">
        <f t="shared" si="0"/>
        <v>Monday</v>
      </c>
      <c r="H40" s="13" t="str">
        <f t="shared" si="1"/>
        <v>January</v>
      </c>
      <c r="I40" s="6">
        <v>557.76850075566699</v>
      </c>
      <c r="J40" s="6" t="str">
        <f t="shared" si="2"/>
        <v>Recorded</v>
      </c>
      <c r="K40" t="s">
        <v>1919</v>
      </c>
      <c r="L40" t="str">
        <f t="shared" si="4"/>
        <v>Regular</v>
      </c>
      <c r="M40" t="str">
        <f t="shared" si="3"/>
        <v>Spain</v>
      </c>
    </row>
    <row r="41" spans="1:13" ht="15.75" x14ac:dyDescent="0.3">
      <c r="A41" s="1" t="s">
        <v>1058</v>
      </c>
      <c r="B41" s="1" t="s">
        <v>1500</v>
      </c>
      <c r="C41">
        <v>32</v>
      </c>
      <c r="D41" s="1" t="s">
        <v>8</v>
      </c>
      <c r="E41" s="1" t="s">
        <v>1915</v>
      </c>
      <c r="F41" s="14">
        <v>44369</v>
      </c>
      <c r="G41" s="13" t="str">
        <f t="shared" si="0"/>
        <v>Tuesday</v>
      </c>
      <c r="H41" s="13" t="str">
        <f t="shared" si="1"/>
        <v>June</v>
      </c>
      <c r="I41" s="6">
        <v>1500</v>
      </c>
      <c r="J41" s="6" t="str">
        <f t="shared" si="2"/>
        <v>Recorded</v>
      </c>
      <c r="K41" t="s">
        <v>1922</v>
      </c>
      <c r="L41" t="str">
        <f t="shared" si="4"/>
        <v>Regular</v>
      </c>
      <c r="M41" t="str">
        <f t="shared" si="3"/>
        <v>Not Provided</v>
      </c>
    </row>
    <row r="42" spans="1:13" ht="15.75" x14ac:dyDescent="0.3">
      <c r="A42" s="1" t="s">
        <v>1059</v>
      </c>
      <c r="B42" s="1" t="s">
        <v>1501</v>
      </c>
      <c r="C42">
        <v>30</v>
      </c>
      <c r="D42" s="1" t="s">
        <v>8</v>
      </c>
      <c r="E42" s="1" t="s">
        <v>1915</v>
      </c>
      <c r="F42" s="13">
        <v>26928</v>
      </c>
      <c r="G42" s="13" t="str">
        <f t="shared" si="0"/>
        <v>Friday</v>
      </c>
      <c r="H42" s="13" t="str">
        <f t="shared" si="1"/>
        <v>September</v>
      </c>
      <c r="I42" s="6">
        <v>1500</v>
      </c>
      <c r="J42" s="6" t="str">
        <f t="shared" si="2"/>
        <v>Recorded</v>
      </c>
      <c r="K42" t="s">
        <v>1922</v>
      </c>
      <c r="L42" t="str">
        <f t="shared" si="4"/>
        <v>Regular</v>
      </c>
      <c r="M42" t="str">
        <f t="shared" si="3"/>
        <v>Not Provided</v>
      </c>
    </row>
    <row r="43" spans="1:13" ht="15.75" x14ac:dyDescent="0.3">
      <c r="A43" s="1" t="s">
        <v>1059</v>
      </c>
      <c r="B43" s="1" t="s">
        <v>1501</v>
      </c>
      <c r="C43">
        <v>20</v>
      </c>
      <c r="D43" s="1" t="s">
        <v>8</v>
      </c>
      <c r="E43" s="1" t="s">
        <v>189</v>
      </c>
      <c r="F43" s="13">
        <v>26928</v>
      </c>
      <c r="G43" s="13" t="str">
        <f t="shared" si="0"/>
        <v>Friday</v>
      </c>
      <c r="H43" s="13" t="str">
        <f t="shared" si="1"/>
        <v>September</v>
      </c>
      <c r="I43" s="6">
        <v>1500</v>
      </c>
      <c r="J43" s="6" t="str">
        <f t="shared" si="2"/>
        <v>Recorded</v>
      </c>
      <c r="K43" t="s">
        <v>1919</v>
      </c>
      <c r="L43" t="str">
        <f t="shared" si="4"/>
        <v>Regular</v>
      </c>
      <c r="M43" t="str">
        <f t="shared" si="3"/>
        <v>Not Provided</v>
      </c>
    </row>
    <row r="44" spans="1:13" ht="15.75" x14ac:dyDescent="0.3">
      <c r="A44" s="1" t="s">
        <v>1060</v>
      </c>
      <c r="B44" s="1" t="s">
        <v>1502</v>
      </c>
      <c r="C44">
        <v>20</v>
      </c>
      <c r="D44" s="1" t="s">
        <v>8</v>
      </c>
      <c r="E44" s="1" t="s">
        <v>1915</v>
      </c>
      <c r="F44" s="13">
        <v>45340</v>
      </c>
      <c r="G44" s="13" t="str">
        <f t="shared" si="0"/>
        <v>Sunday</v>
      </c>
      <c r="H44" s="13" t="str">
        <f t="shared" si="1"/>
        <v>February</v>
      </c>
      <c r="I44" s="6">
        <v>4781.1190331909002</v>
      </c>
      <c r="J44" s="6" t="str">
        <f t="shared" si="2"/>
        <v>Recorded</v>
      </c>
      <c r="K44" t="s">
        <v>1922</v>
      </c>
      <c r="L44" t="str">
        <f t="shared" si="4"/>
        <v>Regular</v>
      </c>
      <c r="M44" t="str">
        <f t="shared" si="3"/>
        <v>Not Provided</v>
      </c>
    </row>
    <row r="45" spans="1:13" ht="15.75" x14ac:dyDescent="0.3">
      <c r="A45" s="1" t="s">
        <v>1061</v>
      </c>
      <c r="B45" s="1" t="s">
        <v>1503</v>
      </c>
      <c r="C45">
        <v>20</v>
      </c>
      <c r="D45" s="1" t="s">
        <v>5</v>
      </c>
      <c r="E45" s="1" t="s">
        <v>1915</v>
      </c>
      <c r="F45" s="13">
        <v>26166</v>
      </c>
      <c r="G45" s="13" t="str">
        <f t="shared" si="0"/>
        <v>Saturday</v>
      </c>
      <c r="H45" s="13" t="str">
        <f t="shared" si="1"/>
        <v>August</v>
      </c>
      <c r="I45" s="6">
        <v>469.60288500642997</v>
      </c>
      <c r="J45" s="6" t="str">
        <f t="shared" si="2"/>
        <v>Recorded</v>
      </c>
      <c r="K45" t="s">
        <v>1919</v>
      </c>
      <c r="L45" t="str">
        <f t="shared" si="4"/>
        <v>Regular</v>
      </c>
      <c r="M45" t="str">
        <f t="shared" si="3"/>
        <v>Spain</v>
      </c>
    </row>
    <row r="46" spans="1:13" ht="15.75" x14ac:dyDescent="0.3">
      <c r="A46" s="1" t="s">
        <v>1062</v>
      </c>
      <c r="B46" s="1" t="s">
        <v>1504</v>
      </c>
      <c r="C46">
        <v>39</v>
      </c>
      <c r="D46" s="1" t="s">
        <v>5</v>
      </c>
      <c r="E46" s="1" t="s">
        <v>189</v>
      </c>
      <c r="F46" s="13">
        <v>25648</v>
      </c>
      <c r="G46" s="13" t="str">
        <f t="shared" si="0"/>
        <v>Saturday</v>
      </c>
      <c r="H46" s="13" t="str">
        <f t="shared" si="1"/>
        <v>March</v>
      </c>
      <c r="I46" s="6">
        <v>3595.7813250254299</v>
      </c>
      <c r="J46" s="6" t="str">
        <f t="shared" si="2"/>
        <v>Recorded</v>
      </c>
      <c r="K46" t="s">
        <v>1922</v>
      </c>
      <c r="L46" t="str">
        <f t="shared" si="4"/>
        <v>Regular</v>
      </c>
      <c r="M46" t="str">
        <f t="shared" si="3"/>
        <v>Not Provided</v>
      </c>
    </row>
    <row r="47" spans="1:13" ht="15.75" x14ac:dyDescent="0.3">
      <c r="A47" s="1" t="s">
        <v>1063</v>
      </c>
      <c r="B47" s="1" t="s">
        <v>1505</v>
      </c>
      <c r="C47">
        <v>20</v>
      </c>
      <c r="D47" s="1" t="s">
        <v>8</v>
      </c>
      <c r="E47" s="1" t="s">
        <v>1915</v>
      </c>
      <c r="F47" s="13">
        <v>26843</v>
      </c>
      <c r="G47" s="13" t="str">
        <f t="shared" si="0"/>
        <v>Thursday</v>
      </c>
      <c r="H47" s="13" t="str">
        <f t="shared" si="1"/>
        <v>June</v>
      </c>
      <c r="I47" s="6">
        <v>1500</v>
      </c>
      <c r="J47" s="6" t="str">
        <f t="shared" si="2"/>
        <v>Recorded</v>
      </c>
      <c r="K47" t="s">
        <v>1917</v>
      </c>
      <c r="L47" t="str">
        <f t="shared" si="4"/>
        <v>Regular</v>
      </c>
      <c r="M47" t="str">
        <f t="shared" si="3"/>
        <v>Lagos</v>
      </c>
    </row>
    <row r="48" spans="1:13" ht="15.75" x14ac:dyDescent="0.3">
      <c r="A48" s="1" t="s">
        <v>1064</v>
      </c>
      <c r="B48" s="1" t="s">
        <v>1506</v>
      </c>
      <c r="C48">
        <v>54</v>
      </c>
      <c r="D48" s="1" t="s">
        <v>5</v>
      </c>
      <c r="E48" s="1" t="s">
        <v>1915</v>
      </c>
      <c r="F48" s="13">
        <v>45466</v>
      </c>
      <c r="G48" s="13" t="str">
        <f t="shared" si="0"/>
        <v>Sunday</v>
      </c>
      <c r="H48" s="13" t="str">
        <f t="shared" si="1"/>
        <v>June</v>
      </c>
      <c r="I48" s="6">
        <v>1500</v>
      </c>
      <c r="J48" s="6" t="str">
        <f t="shared" si="2"/>
        <v>Recorded</v>
      </c>
      <c r="K48" t="s">
        <v>1916</v>
      </c>
      <c r="L48" t="str">
        <f t="shared" si="4"/>
        <v>Regular</v>
      </c>
      <c r="M48" t="str">
        <f t="shared" si="3"/>
        <v>South Africa</v>
      </c>
    </row>
    <row r="49" spans="1:13" ht="15.75" x14ac:dyDescent="0.3">
      <c r="A49" s="1" t="s">
        <v>1065</v>
      </c>
      <c r="B49" s="1" t="s">
        <v>1507</v>
      </c>
      <c r="C49">
        <v>20</v>
      </c>
      <c r="D49" s="1" t="s">
        <v>5</v>
      </c>
      <c r="E49" s="1" t="s">
        <v>1915</v>
      </c>
      <c r="F49" s="13">
        <v>34194</v>
      </c>
      <c r="G49" s="13" t="str">
        <f t="shared" si="0"/>
        <v>Friday</v>
      </c>
      <c r="H49" s="13" t="str">
        <f t="shared" si="1"/>
        <v>August</v>
      </c>
      <c r="I49" s="6">
        <v>2891.54626529602</v>
      </c>
      <c r="J49" s="6" t="str">
        <f t="shared" si="2"/>
        <v>Recorded</v>
      </c>
      <c r="K49" t="s">
        <v>1918</v>
      </c>
      <c r="L49" t="str">
        <f t="shared" si="4"/>
        <v>Regular</v>
      </c>
      <c r="M49" t="str">
        <f t="shared" si="3"/>
        <v>India</v>
      </c>
    </row>
    <row r="50" spans="1:13" ht="15.75" x14ac:dyDescent="0.3">
      <c r="A50" s="1" t="s">
        <v>1066</v>
      </c>
      <c r="B50" s="1" t="s">
        <v>1508</v>
      </c>
      <c r="C50">
        <v>30</v>
      </c>
      <c r="D50" s="1" t="s">
        <v>8</v>
      </c>
      <c r="E50" s="1" t="s">
        <v>189</v>
      </c>
      <c r="F50" s="13">
        <v>40930</v>
      </c>
      <c r="G50" s="13" t="str">
        <f t="shared" si="0"/>
        <v>Sunday</v>
      </c>
      <c r="H50" s="13" t="str">
        <f t="shared" si="1"/>
        <v>January</v>
      </c>
      <c r="I50" s="6">
        <v>702.66497333966004</v>
      </c>
      <c r="J50" s="6" t="str">
        <f t="shared" si="2"/>
        <v>Recorded</v>
      </c>
      <c r="K50" t="s">
        <v>1916</v>
      </c>
      <c r="L50" t="str">
        <f t="shared" si="4"/>
        <v>Regular</v>
      </c>
      <c r="M50" t="str">
        <f t="shared" si="3"/>
        <v>South Africa</v>
      </c>
    </row>
    <row r="51" spans="1:13" ht="15.75" x14ac:dyDescent="0.3">
      <c r="A51" s="1" t="s">
        <v>1067</v>
      </c>
      <c r="B51" s="1" t="s">
        <v>1509</v>
      </c>
      <c r="C51">
        <v>68</v>
      </c>
      <c r="D51" s="1" t="s">
        <v>8</v>
      </c>
      <c r="E51" s="1" t="s">
        <v>189</v>
      </c>
      <c r="F51" s="13">
        <v>45419</v>
      </c>
      <c r="G51" s="13" t="str">
        <f t="shared" si="0"/>
        <v>Tuesday</v>
      </c>
      <c r="H51" s="13" t="str">
        <f t="shared" si="1"/>
        <v>May</v>
      </c>
      <c r="I51" s="6">
        <v>1500</v>
      </c>
      <c r="J51" s="6" t="str">
        <f t="shared" si="2"/>
        <v>Recorded</v>
      </c>
      <c r="K51" t="s">
        <v>1918</v>
      </c>
      <c r="L51" t="str">
        <f t="shared" si="4"/>
        <v>Regular</v>
      </c>
      <c r="M51" t="str">
        <f t="shared" si="3"/>
        <v>India</v>
      </c>
    </row>
    <row r="52" spans="1:13" ht="15.75" x14ac:dyDescent="0.3">
      <c r="A52" s="1" t="s">
        <v>1068</v>
      </c>
      <c r="B52" s="1" t="s">
        <v>1510</v>
      </c>
      <c r="C52">
        <v>30</v>
      </c>
      <c r="D52" s="1" t="s">
        <v>8</v>
      </c>
      <c r="E52" s="1" t="s">
        <v>189</v>
      </c>
      <c r="F52" s="14">
        <v>43448</v>
      </c>
      <c r="G52" s="13" t="str">
        <f t="shared" si="0"/>
        <v>Friday</v>
      </c>
      <c r="H52" s="13" t="str">
        <f t="shared" si="1"/>
        <v>December</v>
      </c>
      <c r="I52" s="6">
        <v>9500</v>
      </c>
      <c r="J52" s="6" t="str">
        <f t="shared" si="2"/>
        <v>Recorded</v>
      </c>
      <c r="K52" t="s">
        <v>1916</v>
      </c>
      <c r="L52" t="str">
        <f t="shared" si="4"/>
        <v>Regular</v>
      </c>
      <c r="M52" t="str">
        <f t="shared" si="3"/>
        <v>South Africa</v>
      </c>
    </row>
    <row r="53" spans="1:13" ht="15.75" x14ac:dyDescent="0.3">
      <c r="A53" s="1" t="s">
        <v>1069</v>
      </c>
      <c r="B53" s="1" t="s">
        <v>1511</v>
      </c>
      <c r="C53">
        <v>30</v>
      </c>
      <c r="D53" s="1" t="s">
        <v>5</v>
      </c>
      <c r="E53" s="1" t="s">
        <v>1915</v>
      </c>
      <c r="F53" s="13">
        <v>42851</v>
      </c>
      <c r="G53" s="13" t="str">
        <f t="shared" si="0"/>
        <v>Wednesday</v>
      </c>
      <c r="H53" s="13" t="str">
        <f t="shared" si="1"/>
        <v>April</v>
      </c>
      <c r="I53" s="6">
        <v>90000</v>
      </c>
      <c r="J53" s="6" t="str">
        <f t="shared" si="2"/>
        <v>Recorded</v>
      </c>
      <c r="K53" t="s">
        <v>1922</v>
      </c>
      <c r="L53" t="str">
        <f t="shared" si="4"/>
        <v>High value</v>
      </c>
      <c r="M53" t="str">
        <f t="shared" si="3"/>
        <v>Not Provided</v>
      </c>
    </row>
    <row r="54" spans="1:13" ht="15.75" x14ac:dyDescent="0.3">
      <c r="A54" s="1" t="s">
        <v>1070</v>
      </c>
      <c r="B54" s="1" t="s">
        <v>1512</v>
      </c>
      <c r="C54">
        <v>36</v>
      </c>
      <c r="D54" s="1" t="s">
        <v>8</v>
      </c>
      <c r="E54" s="1" t="s">
        <v>1915</v>
      </c>
      <c r="F54" s="13">
        <v>26680</v>
      </c>
      <c r="G54" s="13" t="str">
        <f t="shared" si="0"/>
        <v>Tuesday</v>
      </c>
      <c r="H54" s="13" t="str">
        <f t="shared" si="1"/>
        <v>January</v>
      </c>
      <c r="I54" s="6">
        <v>1500</v>
      </c>
      <c r="J54" s="6" t="str">
        <f t="shared" si="2"/>
        <v>Recorded</v>
      </c>
      <c r="K54" t="s">
        <v>1917</v>
      </c>
      <c r="L54" t="str">
        <f t="shared" si="4"/>
        <v>Regular</v>
      </c>
      <c r="M54" t="str">
        <f t="shared" si="3"/>
        <v>Lagos</v>
      </c>
    </row>
    <row r="55" spans="1:13" ht="15.75" x14ac:dyDescent="0.3">
      <c r="A55" s="1" t="s">
        <v>1071</v>
      </c>
      <c r="B55" s="1" t="s">
        <v>1513</v>
      </c>
      <c r="C55">
        <v>30</v>
      </c>
      <c r="D55" s="1" t="s">
        <v>5</v>
      </c>
      <c r="E55" s="1" t="s">
        <v>1915</v>
      </c>
      <c r="F55" s="13">
        <v>39098</v>
      </c>
      <c r="G55" s="13" t="str">
        <f t="shared" si="0"/>
        <v>Tuesday</v>
      </c>
      <c r="H55" s="13" t="str">
        <f t="shared" si="1"/>
        <v>January</v>
      </c>
      <c r="I55" s="6">
        <v>1500</v>
      </c>
      <c r="J55" s="6" t="str">
        <f t="shared" si="2"/>
        <v>Recorded</v>
      </c>
      <c r="K55" t="s">
        <v>1922</v>
      </c>
      <c r="L55" t="str">
        <f t="shared" si="4"/>
        <v>Regular</v>
      </c>
      <c r="M55" t="str">
        <f t="shared" si="3"/>
        <v>Not Provided</v>
      </c>
    </row>
    <row r="56" spans="1:13" ht="15.75" x14ac:dyDescent="0.3">
      <c r="A56" s="1" t="s">
        <v>1072</v>
      </c>
      <c r="B56" s="1" t="s">
        <v>1514</v>
      </c>
      <c r="C56">
        <v>30</v>
      </c>
      <c r="D56" s="1" t="s">
        <v>8</v>
      </c>
      <c r="E56" s="1" t="s">
        <v>189</v>
      </c>
      <c r="F56" s="13">
        <v>42351</v>
      </c>
      <c r="G56" s="13" t="str">
        <f t="shared" si="0"/>
        <v>Sunday</v>
      </c>
      <c r="H56" s="13" t="str">
        <f t="shared" si="1"/>
        <v>December</v>
      </c>
      <c r="I56" s="6">
        <v>350.76710902160499</v>
      </c>
      <c r="J56" s="6" t="str">
        <f t="shared" si="2"/>
        <v>Recorded</v>
      </c>
      <c r="K56" t="s">
        <v>1922</v>
      </c>
      <c r="L56" t="str">
        <f t="shared" si="4"/>
        <v>Regular</v>
      </c>
      <c r="M56" t="str">
        <f t="shared" si="3"/>
        <v>Not Provided</v>
      </c>
    </row>
    <row r="57" spans="1:13" ht="15.75" x14ac:dyDescent="0.3">
      <c r="A57" s="1" t="s">
        <v>1073</v>
      </c>
      <c r="B57" s="1" t="s">
        <v>1515</v>
      </c>
      <c r="C57">
        <v>28</v>
      </c>
      <c r="D57" s="1" t="s">
        <v>5</v>
      </c>
      <c r="E57" s="1" t="s">
        <v>189</v>
      </c>
      <c r="F57" s="13">
        <v>45457</v>
      </c>
      <c r="G57" s="13" t="str">
        <f t="shared" si="0"/>
        <v>Friday</v>
      </c>
      <c r="H57" s="13" t="str">
        <f t="shared" si="1"/>
        <v>June</v>
      </c>
      <c r="I57" s="6">
        <v>1500</v>
      </c>
      <c r="J57" s="6" t="str">
        <f t="shared" si="2"/>
        <v>Recorded</v>
      </c>
      <c r="K57" t="s">
        <v>1919</v>
      </c>
      <c r="L57" t="str">
        <f t="shared" si="4"/>
        <v>Regular</v>
      </c>
      <c r="M57" t="str">
        <f t="shared" si="3"/>
        <v>Spain</v>
      </c>
    </row>
    <row r="58" spans="1:13" ht="15.75" x14ac:dyDescent="0.3">
      <c r="A58" s="1" t="s">
        <v>1074</v>
      </c>
      <c r="B58" s="1" t="s">
        <v>1516</v>
      </c>
      <c r="C58">
        <v>57</v>
      </c>
      <c r="D58" s="1" t="s">
        <v>8</v>
      </c>
      <c r="E58" s="1" t="s">
        <v>189</v>
      </c>
      <c r="F58" s="13">
        <v>45440</v>
      </c>
      <c r="G58" s="13" t="str">
        <f t="shared" si="0"/>
        <v>Tuesday</v>
      </c>
      <c r="H58" s="13" t="str">
        <f t="shared" si="1"/>
        <v>May</v>
      </c>
      <c r="I58" s="6">
        <v>9500</v>
      </c>
      <c r="J58" s="6" t="str">
        <f t="shared" si="2"/>
        <v>Recorded</v>
      </c>
      <c r="K58" t="s">
        <v>1922</v>
      </c>
      <c r="L58" t="str">
        <f t="shared" si="4"/>
        <v>Regular</v>
      </c>
      <c r="M58" t="str">
        <f t="shared" si="3"/>
        <v>Not Provided</v>
      </c>
    </row>
    <row r="59" spans="1:13" ht="15.75" x14ac:dyDescent="0.3">
      <c r="A59" s="1" t="s">
        <v>1075</v>
      </c>
      <c r="B59" s="1" t="s">
        <v>1517</v>
      </c>
      <c r="C59">
        <v>20</v>
      </c>
      <c r="D59" s="1" t="s">
        <v>8</v>
      </c>
      <c r="E59" s="1" t="s">
        <v>189</v>
      </c>
      <c r="F59" s="14">
        <v>43415</v>
      </c>
      <c r="G59" s="13" t="str">
        <f t="shared" si="0"/>
        <v>Sunday</v>
      </c>
      <c r="H59" s="13" t="str">
        <f t="shared" si="1"/>
        <v>November</v>
      </c>
      <c r="I59" s="6">
        <v>1500</v>
      </c>
      <c r="J59" s="6" t="str">
        <f t="shared" si="2"/>
        <v>Recorded</v>
      </c>
      <c r="K59" t="s">
        <v>1916</v>
      </c>
      <c r="L59" t="str">
        <f t="shared" si="4"/>
        <v>Regular</v>
      </c>
      <c r="M59" t="str">
        <f t="shared" si="3"/>
        <v>South Africa</v>
      </c>
    </row>
    <row r="60" spans="1:13" ht="15.75" x14ac:dyDescent="0.3">
      <c r="A60" s="1" t="s">
        <v>1076</v>
      </c>
      <c r="B60" s="1" t="s">
        <v>1518</v>
      </c>
      <c r="C60">
        <v>30</v>
      </c>
      <c r="D60" s="1" t="s">
        <v>8</v>
      </c>
      <c r="E60" s="1" t="s">
        <v>1915</v>
      </c>
      <c r="F60" s="13">
        <v>26840</v>
      </c>
      <c r="G60" s="13" t="str">
        <f t="shared" si="0"/>
        <v>Monday</v>
      </c>
      <c r="H60" s="13" t="str">
        <f t="shared" si="1"/>
        <v>June</v>
      </c>
      <c r="I60" s="6">
        <v>9500</v>
      </c>
      <c r="J60" s="6" t="str">
        <f t="shared" si="2"/>
        <v>Recorded</v>
      </c>
      <c r="K60" t="s">
        <v>1919</v>
      </c>
      <c r="L60" t="str">
        <f t="shared" si="4"/>
        <v>Regular</v>
      </c>
      <c r="M60" t="str">
        <f t="shared" si="3"/>
        <v>Spain</v>
      </c>
    </row>
    <row r="61" spans="1:13" ht="15.75" x14ac:dyDescent="0.3">
      <c r="A61" s="1" t="s">
        <v>1077</v>
      </c>
      <c r="B61" s="1" t="s">
        <v>1519</v>
      </c>
      <c r="C61">
        <v>20</v>
      </c>
      <c r="D61" s="1" t="s">
        <v>70</v>
      </c>
      <c r="E61" s="1" t="s">
        <v>189</v>
      </c>
      <c r="F61" s="13">
        <v>39485</v>
      </c>
      <c r="G61" s="13" t="str">
        <f t="shared" si="0"/>
        <v>Thursday</v>
      </c>
      <c r="H61" s="13" t="str">
        <f t="shared" si="1"/>
        <v>February</v>
      </c>
      <c r="I61" s="6">
        <v>85.340273519963603</v>
      </c>
      <c r="J61" s="6" t="str">
        <f t="shared" si="2"/>
        <v>Recorded</v>
      </c>
      <c r="K61" t="s">
        <v>1917</v>
      </c>
      <c r="L61" t="str">
        <f t="shared" si="4"/>
        <v>Regular</v>
      </c>
      <c r="M61" t="str">
        <f t="shared" si="3"/>
        <v>Lagos</v>
      </c>
    </row>
    <row r="62" spans="1:13" ht="15.75" x14ac:dyDescent="0.3">
      <c r="A62" s="1" t="s">
        <v>1078</v>
      </c>
      <c r="B62" s="1" t="s">
        <v>1520</v>
      </c>
      <c r="C62">
        <v>40</v>
      </c>
      <c r="D62" s="1" t="s">
        <v>5</v>
      </c>
      <c r="E62" s="1" t="s">
        <v>1915</v>
      </c>
      <c r="F62" s="13">
        <v>45444</v>
      </c>
      <c r="G62" s="13" t="str">
        <f t="shared" si="0"/>
        <v>Saturday</v>
      </c>
      <c r="H62" s="13" t="str">
        <f t="shared" si="1"/>
        <v>June</v>
      </c>
      <c r="I62" s="6">
        <v>9500</v>
      </c>
      <c r="J62" s="6" t="str">
        <f t="shared" si="2"/>
        <v>Recorded</v>
      </c>
      <c r="K62" t="s">
        <v>1922</v>
      </c>
      <c r="L62" t="str">
        <f t="shared" si="4"/>
        <v>Regular</v>
      </c>
      <c r="M62" t="str">
        <f t="shared" si="3"/>
        <v>Not Provided</v>
      </c>
    </row>
    <row r="63" spans="1:13" ht="15.75" x14ac:dyDescent="0.3">
      <c r="A63" s="1" t="s">
        <v>1079</v>
      </c>
      <c r="B63" s="1" t="s">
        <v>1521</v>
      </c>
      <c r="C63">
        <v>30</v>
      </c>
      <c r="D63" s="1" t="s">
        <v>8</v>
      </c>
      <c r="E63" s="1" t="s">
        <v>1915</v>
      </c>
      <c r="F63" s="13">
        <v>44962</v>
      </c>
      <c r="G63" s="13" t="str">
        <f t="shared" si="0"/>
        <v>Sunday</v>
      </c>
      <c r="H63" s="13" t="str">
        <f t="shared" si="1"/>
        <v>February</v>
      </c>
      <c r="I63" s="6">
        <v>1500</v>
      </c>
      <c r="J63" s="6" t="str">
        <f t="shared" si="2"/>
        <v>Recorded</v>
      </c>
      <c r="K63" t="s">
        <v>1922</v>
      </c>
      <c r="L63" t="str">
        <f t="shared" si="4"/>
        <v>Regular</v>
      </c>
      <c r="M63" t="str">
        <f t="shared" si="3"/>
        <v>Not Provided</v>
      </c>
    </row>
    <row r="64" spans="1:13" ht="15.75" x14ac:dyDescent="0.3">
      <c r="A64" s="1" t="s">
        <v>1080</v>
      </c>
      <c r="B64" s="1" t="s">
        <v>1522</v>
      </c>
      <c r="C64">
        <v>20</v>
      </c>
      <c r="D64" s="1" t="s">
        <v>5</v>
      </c>
      <c r="E64" s="1" t="s">
        <v>189</v>
      </c>
      <c r="F64" s="14">
        <v>44509</v>
      </c>
      <c r="G64" s="13" t="str">
        <f t="shared" si="0"/>
        <v>Tuesday</v>
      </c>
      <c r="H64" s="13" t="str">
        <f t="shared" si="1"/>
        <v>November</v>
      </c>
      <c r="I64" s="6">
        <v>1500</v>
      </c>
      <c r="J64" s="6" t="str">
        <f t="shared" si="2"/>
        <v>Recorded</v>
      </c>
      <c r="K64" t="s">
        <v>1922</v>
      </c>
      <c r="L64" t="str">
        <f t="shared" si="4"/>
        <v>Regular</v>
      </c>
      <c r="M64" t="str">
        <f t="shared" si="3"/>
        <v>Not Provided</v>
      </c>
    </row>
    <row r="65" spans="1:13" ht="15.75" x14ac:dyDescent="0.3">
      <c r="A65" s="1" t="s">
        <v>1081</v>
      </c>
      <c r="B65" s="1" t="s">
        <v>1523</v>
      </c>
      <c r="C65">
        <v>20</v>
      </c>
      <c r="D65" s="1" t="s">
        <v>5</v>
      </c>
      <c r="E65" s="1" t="s">
        <v>189</v>
      </c>
      <c r="F65" s="13">
        <v>36789</v>
      </c>
      <c r="G65" s="13" t="str">
        <f t="shared" si="0"/>
        <v>Wednesday</v>
      </c>
      <c r="H65" s="13" t="str">
        <f t="shared" si="1"/>
        <v>September</v>
      </c>
      <c r="I65" s="6">
        <v>9500</v>
      </c>
      <c r="J65" s="6" t="str">
        <f t="shared" si="2"/>
        <v>Recorded</v>
      </c>
      <c r="K65" t="s">
        <v>1917</v>
      </c>
      <c r="L65" t="str">
        <f t="shared" si="4"/>
        <v>Regular</v>
      </c>
      <c r="M65" t="str">
        <f t="shared" si="3"/>
        <v>Lagos</v>
      </c>
    </row>
    <row r="66" spans="1:13" ht="15.75" x14ac:dyDescent="0.3">
      <c r="A66" s="1" t="s">
        <v>1082</v>
      </c>
      <c r="B66" s="1" t="s">
        <v>1524</v>
      </c>
      <c r="C66">
        <v>20</v>
      </c>
      <c r="D66" s="1" t="s">
        <v>8</v>
      </c>
      <c r="E66" s="1" t="s">
        <v>189</v>
      </c>
      <c r="F66" s="14">
        <v>43554</v>
      </c>
      <c r="G66" s="13" t="str">
        <f t="shared" si="0"/>
        <v>Saturday</v>
      </c>
      <c r="H66" s="13" t="str">
        <f t="shared" si="1"/>
        <v>March</v>
      </c>
      <c r="I66" s="6">
        <v>1438.83877847331</v>
      </c>
      <c r="J66" s="6" t="str">
        <f t="shared" si="2"/>
        <v>Recorded</v>
      </c>
      <c r="K66" t="s">
        <v>1922</v>
      </c>
      <c r="L66" t="str">
        <f t="shared" si="4"/>
        <v>Regular</v>
      </c>
      <c r="M66" t="str">
        <f t="shared" si="3"/>
        <v>Not Provided</v>
      </c>
    </row>
    <row r="67" spans="1:13" ht="15.75" x14ac:dyDescent="0.3">
      <c r="A67" s="1" t="s">
        <v>1083</v>
      </c>
      <c r="B67" s="1" t="s">
        <v>1525</v>
      </c>
      <c r="C67">
        <v>36</v>
      </c>
      <c r="D67" s="1" t="s">
        <v>5</v>
      </c>
      <c r="E67" s="1" t="s">
        <v>1915</v>
      </c>
      <c r="F67" s="13">
        <v>45474</v>
      </c>
      <c r="G67" s="13" t="str">
        <f t="shared" ref="G67:G130" si="5">TEXT(F67,"DDDD")</f>
        <v>Monday</v>
      </c>
      <c r="H67" s="13" t="str">
        <f t="shared" ref="H67:H130" si="6">TEXT(F67,"MMMM")</f>
        <v>July</v>
      </c>
      <c r="I67" s="6">
        <v>7400</v>
      </c>
      <c r="J67" s="6" t="str">
        <f t="shared" ref="J67:J130" si="7">IF(LEN(TRIM(I67))=0,"Not Recorded","Recorded")</f>
        <v>Recorded</v>
      </c>
      <c r="K67" t="s">
        <v>1922</v>
      </c>
      <c r="L67" t="str">
        <f t="shared" si="4"/>
        <v>Regular</v>
      </c>
      <c r="M67" t="str">
        <f t="shared" ref="M67:M130" si="8">_xlfn.XLOOKUP(A67,A:A,K:K,"Not Provided",0)</f>
        <v>Not Provided</v>
      </c>
    </row>
    <row r="68" spans="1:13" ht="15.75" x14ac:dyDescent="0.3">
      <c r="A68" s="1" t="s">
        <v>1084</v>
      </c>
      <c r="B68" s="1" t="s">
        <v>1526</v>
      </c>
      <c r="C68">
        <v>30</v>
      </c>
      <c r="D68" s="1" t="s">
        <v>5</v>
      </c>
      <c r="E68" s="1" t="s">
        <v>1915</v>
      </c>
      <c r="F68" s="13">
        <v>42164</v>
      </c>
      <c r="G68" s="13" t="str">
        <f t="shared" si="5"/>
        <v>Tuesday</v>
      </c>
      <c r="H68" s="13" t="str">
        <f t="shared" si="6"/>
        <v>June</v>
      </c>
      <c r="I68" s="6">
        <v>415.04744091550998</v>
      </c>
      <c r="J68" s="6" t="str">
        <f t="shared" si="7"/>
        <v>Recorded</v>
      </c>
      <c r="K68" t="s">
        <v>1922</v>
      </c>
      <c r="L68" t="str">
        <f t="shared" ref="L68:L131" si="9">IF(I68&gt;10000,"High value","Regular")</f>
        <v>Regular</v>
      </c>
      <c r="M68" t="str">
        <f t="shared" si="8"/>
        <v>Not Provided</v>
      </c>
    </row>
    <row r="69" spans="1:13" ht="15.75" x14ac:dyDescent="0.3">
      <c r="A69" s="1" t="s">
        <v>1085</v>
      </c>
      <c r="B69" s="1" t="s">
        <v>1527</v>
      </c>
      <c r="C69">
        <v>30</v>
      </c>
      <c r="D69" s="1" t="s">
        <v>5</v>
      </c>
      <c r="E69" s="1" t="s">
        <v>189</v>
      </c>
      <c r="F69" s="13">
        <v>29602</v>
      </c>
      <c r="G69" s="13" t="str">
        <f t="shared" si="5"/>
        <v>Friday</v>
      </c>
      <c r="H69" s="13" t="str">
        <f t="shared" si="6"/>
        <v>January</v>
      </c>
      <c r="I69" s="6">
        <v>1500</v>
      </c>
      <c r="J69" s="6" t="str">
        <f t="shared" si="7"/>
        <v>Recorded</v>
      </c>
      <c r="K69" t="s">
        <v>1922</v>
      </c>
      <c r="L69" t="str">
        <f t="shared" si="9"/>
        <v>Regular</v>
      </c>
      <c r="M69" t="str">
        <f t="shared" si="8"/>
        <v>Not Provided</v>
      </c>
    </row>
    <row r="70" spans="1:13" ht="15.75" x14ac:dyDescent="0.3">
      <c r="A70" s="1" t="s">
        <v>1086</v>
      </c>
      <c r="B70" s="1" t="s">
        <v>1528</v>
      </c>
      <c r="C70">
        <v>30</v>
      </c>
      <c r="D70" s="1" t="s">
        <v>5</v>
      </c>
      <c r="E70" s="1" t="s">
        <v>189</v>
      </c>
      <c r="F70" s="13">
        <v>42950</v>
      </c>
      <c r="G70" s="13" t="str">
        <f t="shared" si="5"/>
        <v>Thursday</v>
      </c>
      <c r="H70" s="13" t="str">
        <f t="shared" si="6"/>
        <v>August</v>
      </c>
      <c r="I70" s="6">
        <v>2910</v>
      </c>
      <c r="J70" s="6" t="str">
        <f t="shared" si="7"/>
        <v>Recorded</v>
      </c>
      <c r="K70" t="s">
        <v>1918</v>
      </c>
      <c r="L70" t="str">
        <f t="shared" si="9"/>
        <v>Regular</v>
      </c>
      <c r="M70" t="str">
        <f t="shared" si="8"/>
        <v>India</v>
      </c>
    </row>
    <row r="71" spans="1:13" ht="15.75" x14ac:dyDescent="0.3">
      <c r="A71" s="1" t="s">
        <v>1087</v>
      </c>
      <c r="B71" s="1" t="s">
        <v>1529</v>
      </c>
      <c r="C71">
        <v>34</v>
      </c>
      <c r="D71" s="1" t="s">
        <v>5</v>
      </c>
      <c r="E71" s="1" t="s">
        <v>189</v>
      </c>
      <c r="F71" s="13">
        <v>45531</v>
      </c>
      <c r="G71" s="13" t="str">
        <f t="shared" si="5"/>
        <v>Tuesday</v>
      </c>
      <c r="H71" s="13" t="str">
        <f t="shared" si="6"/>
        <v>August</v>
      </c>
      <c r="I71" s="6">
        <v>1500</v>
      </c>
      <c r="J71" s="6" t="str">
        <f t="shared" si="7"/>
        <v>Recorded</v>
      </c>
      <c r="K71" t="s">
        <v>1918</v>
      </c>
      <c r="L71" t="str">
        <f t="shared" si="9"/>
        <v>Regular</v>
      </c>
      <c r="M71" t="str">
        <f t="shared" si="8"/>
        <v>India</v>
      </c>
    </row>
    <row r="72" spans="1:13" ht="15.75" x14ac:dyDescent="0.3">
      <c r="A72" s="1" t="s">
        <v>1088</v>
      </c>
      <c r="B72" s="1" t="s">
        <v>1530</v>
      </c>
      <c r="C72">
        <v>54</v>
      </c>
      <c r="D72" s="1" t="s">
        <v>8</v>
      </c>
      <c r="E72" s="1" t="s">
        <v>1915</v>
      </c>
      <c r="F72" s="13">
        <v>32760</v>
      </c>
      <c r="G72" s="13" t="str">
        <f t="shared" si="5"/>
        <v>Saturday</v>
      </c>
      <c r="H72" s="13" t="str">
        <f t="shared" si="6"/>
        <v>September</v>
      </c>
      <c r="I72" s="6">
        <v>5614.7168288129496</v>
      </c>
      <c r="J72" s="6" t="str">
        <f t="shared" si="7"/>
        <v>Recorded</v>
      </c>
      <c r="K72" t="s">
        <v>1922</v>
      </c>
      <c r="L72" t="str">
        <f t="shared" si="9"/>
        <v>Regular</v>
      </c>
      <c r="M72" t="str">
        <f t="shared" si="8"/>
        <v>Not Provided</v>
      </c>
    </row>
    <row r="73" spans="1:13" ht="15.75" x14ac:dyDescent="0.3">
      <c r="A73" s="1" t="s">
        <v>1088</v>
      </c>
      <c r="B73" s="1" t="s">
        <v>1530</v>
      </c>
      <c r="C73">
        <v>20</v>
      </c>
      <c r="D73" s="1" t="s">
        <v>8</v>
      </c>
      <c r="E73" s="1" t="s">
        <v>189</v>
      </c>
      <c r="F73" s="13">
        <v>32760</v>
      </c>
      <c r="G73" s="13" t="str">
        <f t="shared" si="5"/>
        <v>Saturday</v>
      </c>
      <c r="H73" s="13" t="str">
        <f t="shared" si="6"/>
        <v>September</v>
      </c>
      <c r="I73" s="6">
        <v>5614.7168288129496</v>
      </c>
      <c r="J73" s="6" t="str">
        <f t="shared" si="7"/>
        <v>Recorded</v>
      </c>
      <c r="K73" t="s">
        <v>1918</v>
      </c>
      <c r="L73" t="str">
        <f t="shared" si="9"/>
        <v>Regular</v>
      </c>
      <c r="M73" t="str">
        <f t="shared" si="8"/>
        <v>Not Provided</v>
      </c>
    </row>
    <row r="74" spans="1:13" ht="15.75" x14ac:dyDescent="0.3">
      <c r="A74" s="1" t="s">
        <v>1089</v>
      </c>
      <c r="B74" s="1" t="s">
        <v>1531</v>
      </c>
      <c r="C74">
        <v>30</v>
      </c>
      <c r="D74" s="1" t="s">
        <v>8</v>
      </c>
      <c r="E74" s="1" t="s">
        <v>189</v>
      </c>
      <c r="F74" s="13">
        <v>45533</v>
      </c>
      <c r="G74" s="13" t="str">
        <f t="shared" si="5"/>
        <v>Thursday</v>
      </c>
      <c r="H74" s="13" t="str">
        <f t="shared" si="6"/>
        <v>August</v>
      </c>
      <c r="I74" s="6">
        <v>4671.3122754826099</v>
      </c>
      <c r="J74" s="6" t="str">
        <f t="shared" si="7"/>
        <v>Recorded</v>
      </c>
      <c r="K74" t="s">
        <v>1917</v>
      </c>
      <c r="L74" t="str">
        <f t="shared" si="9"/>
        <v>Regular</v>
      </c>
      <c r="M74" t="str">
        <f t="shared" si="8"/>
        <v>Lagos</v>
      </c>
    </row>
    <row r="75" spans="1:13" ht="15.75" x14ac:dyDescent="0.3">
      <c r="A75" s="1" t="s">
        <v>1090</v>
      </c>
      <c r="B75" s="1" t="s">
        <v>1532</v>
      </c>
      <c r="C75">
        <v>46</v>
      </c>
      <c r="D75" s="1" t="s">
        <v>8</v>
      </c>
      <c r="E75" s="1" t="s">
        <v>189</v>
      </c>
      <c r="F75" s="13">
        <v>45487</v>
      </c>
      <c r="G75" s="13" t="str">
        <f t="shared" si="5"/>
        <v>Sunday</v>
      </c>
      <c r="H75" s="13" t="str">
        <f t="shared" si="6"/>
        <v>July</v>
      </c>
      <c r="I75" s="6">
        <v>9500</v>
      </c>
      <c r="J75" s="6" t="str">
        <f t="shared" si="7"/>
        <v>Recorded</v>
      </c>
      <c r="K75" t="s">
        <v>1922</v>
      </c>
      <c r="L75" t="str">
        <f t="shared" si="9"/>
        <v>Regular</v>
      </c>
      <c r="M75" t="str">
        <f t="shared" si="8"/>
        <v>Not Provided</v>
      </c>
    </row>
    <row r="76" spans="1:13" ht="15.75" x14ac:dyDescent="0.3">
      <c r="A76" s="1" t="s">
        <v>1091</v>
      </c>
      <c r="B76" s="1" t="s">
        <v>1533</v>
      </c>
      <c r="C76">
        <v>30</v>
      </c>
      <c r="D76" s="1" t="s">
        <v>70</v>
      </c>
      <c r="E76" s="1" t="s">
        <v>189</v>
      </c>
      <c r="F76" s="13">
        <v>45378</v>
      </c>
      <c r="G76" s="13" t="str">
        <f t="shared" si="5"/>
        <v>Wednesday</v>
      </c>
      <c r="H76" s="13" t="str">
        <f t="shared" si="6"/>
        <v>March</v>
      </c>
      <c r="I76" s="6">
        <v>1500</v>
      </c>
      <c r="J76" s="6" t="str">
        <f t="shared" si="7"/>
        <v>Recorded</v>
      </c>
      <c r="K76" t="s">
        <v>1919</v>
      </c>
      <c r="L76" t="str">
        <f t="shared" si="9"/>
        <v>Regular</v>
      </c>
      <c r="M76" t="str">
        <f t="shared" si="8"/>
        <v>Spain</v>
      </c>
    </row>
    <row r="77" spans="1:13" ht="15.75" x14ac:dyDescent="0.3">
      <c r="A77" s="1" t="s">
        <v>1092</v>
      </c>
      <c r="B77" s="1" t="s">
        <v>1534</v>
      </c>
      <c r="C77">
        <v>22</v>
      </c>
      <c r="D77" s="1" t="s">
        <v>8</v>
      </c>
      <c r="E77" s="1" t="s">
        <v>189</v>
      </c>
      <c r="F77" s="14">
        <v>44369</v>
      </c>
      <c r="G77" s="13" t="str">
        <f t="shared" si="5"/>
        <v>Tuesday</v>
      </c>
      <c r="H77" s="13" t="str">
        <f t="shared" si="6"/>
        <v>June</v>
      </c>
      <c r="I77" s="6">
        <v>78000</v>
      </c>
      <c r="J77" s="6" t="str">
        <f t="shared" si="7"/>
        <v>Recorded</v>
      </c>
      <c r="K77" t="s">
        <v>1919</v>
      </c>
      <c r="L77" t="str">
        <f t="shared" si="9"/>
        <v>High value</v>
      </c>
      <c r="M77" t="str">
        <f t="shared" si="8"/>
        <v>Spain</v>
      </c>
    </row>
    <row r="78" spans="1:13" ht="15.75" x14ac:dyDescent="0.3">
      <c r="A78" s="1" t="s">
        <v>1093</v>
      </c>
      <c r="B78" s="1" t="s">
        <v>1535</v>
      </c>
      <c r="C78">
        <v>30</v>
      </c>
      <c r="D78" s="1" t="s">
        <v>8</v>
      </c>
      <c r="E78" s="1" t="s">
        <v>1915</v>
      </c>
      <c r="F78" s="13">
        <v>45416</v>
      </c>
      <c r="G78" s="13" t="str">
        <f t="shared" si="5"/>
        <v>Saturday</v>
      </c>
      <c r="H78" s="13" t="str">
        <f t="shared" si="6"/>
        <v>May</v>
      </c>
      <c r="I78" s="6">
        <v>9500</v>
      </c>
      <c r="J78" s="6" t="str">
        <f t="shared" si="7"/>
        <v>Recorded</v>
      </c>
      <c r="K78" t="s">
        <v>1922</v>
      </c>
      <c r="L78" t="str">
        <f t="shared" si="9"/>
        <v>Regular</v>
      </c>
      <c r="M78" t="str">
        <f t="shared" si="8"/>
        <v>Not Provided</v>
      </c>
    </row>
    <row r="79" spans="1:13" ht="15.75" x14ac:dyDescent="0.3">
      <c r="A79" s="1" t="s">
        <v>1094</v>
      </c>
      <c r="B79" s="1" t="s">
        <v>1536</v>
      </c>
      <c r="C79">
        <v>21</v>
      </c>
      <c r="D79" s="1" t="s">
        <v>8</v>
      </c>
      <c r="E79" s="1" t="s">
        <v>1915</v>
      </c>
      <c r="F79" s="13">
        <v>45354</v>
      </c>
      <c r="G79" s="13" t="str">
        <f t="shared" si="5"/>
        <v>Sunday</v>
      </c>
      <c r="H79" s="13" t="str">
        <f t="shared" si="6"/>
        <v>March</v>
      </c>
      <c r="I79" s="6">
        <v>622.978819045254</v>
      </c>
      <c r="J79" s="6" t="str">
        <f t="shared" si="7"/>
        <v>Recorded</v>
      </c>
      <c r="K79" t="s">
        <v>1922</v>
      </c>
      <c r="L79" t="str">
        <f t="shared" si="9"/>
        <v>Regular</v>
      </c>
      <c r="M79" t="str">
        <f t="shared" si="8"/>
        <v>Not Provided</v>
      </c>
    </row>
    <row r="80" spans="1:13" ht="15.75" x14ac:dyDescent="0.3">
      <c r="A80" s="1" t="s">
        <v>1095</v>
      </c>
      <c r="B80" s="1" t="s">
        <v>1537</v>
      </c>
      <c r="C80">
        <v>20</v>
      </c>
      <c r="D80" s="1" t="s">
        <v>8</v>
      </c>
      <c r="E80" s="1" t="s">
        <v>1915</v>
      </c>
      <c r="F80" s="13">
        <v>32259</v>
      </c>
      <c r="G80" s="13" t="str">
        <f t="shared" si="5"/>
        <v>Tuesday</v>
      </c>
      <c r="H80" s="13" t="str">
        <f t="shared" si="6"/>
        <v>April</v>
      </c>
      <c r="I80" s="6">
        <v>9500</v>
      </c>
      <c r="J80" s="6" t="str">
        <f t="shared" si="7"/>
        <v>Recorded</v>
      </c>
      <c r="K80" t="s">
        <v>1916</v>
      </c>
      <c r="L80" t="str">
        <f t="shared" si="9"/>
        <v>Regular</v>
      </c>
      <c r="M80" t="str">
        <f t="shared" si="8"/>
        <v>South Africa</v>
      </c>
    </row>
    <row r="81" spans="1:13" ht="15.75" x14ac:dyDescent="0.3">
      <c r="A81" s="1" t="s">
        <v>1096</v>
      </c>
      <c r="B81" s="1" t="s">
        <v>1538</v>
      </c>
      <c r="C81">
        <v>25</v>
      </c>
      <c r="D81" s="1" t="s">
        <v>8</v>
      </c>
      <c r="E81" s="1" t="s">
        <v>1915</v>
      </c>
      <c r="F81" s="13">
        <v>45481</v>
      </c>
      <c r="G81" s="13" t="str">
        <f t="shared" si="5"/>
        <v>Monday</v>
      </c>
      <c r="H81" s="13" t="str">
        <f t="shared" si="6"/>
        <v>July</v>
      </c>
      <c r="I81" s="6">
        <v>5600</v>
      </c>
      <c r="J81" s="6" t="str">
        <f t="shared" si="7"/>
        <v>Recorded</v>
      </c>
      <c r="K81" t="s">
        <v>1922</v>
      </c>
      <c r="L81" t="str">
        <f t="shared" si="9"/>
        <v>Regular</v>
      </c>
      <c r="M81" t="str">
        <f t="shared" si="8"/>
        <v>Not Provided</v>
      </c>
    </row>
    <row r="82" spans="1:13" ht="15.75" x14ac:dyDescent="0.3">
      <c r="A82" s="1" t="s">
        <v>1096</v>
      </c>
      <c r="B82" s="1" t="s">
        <v>1538</v>
      </c>
      <c r="C82">
        <v>22</v>
      </c>
      <c r="D82" s="1" t="s">
        <v>8</v>
      </c>
      <c r="E82" s="1" t="s">
        <v>1915</v>
      </c>
      <c r="F82" s="13">
        <v>45481</v>
      </c>
      <c r="G82" s="13" t="str">
        <f t="shared" si="5"/>
        <v>Monday</v>
      </c>
      <c r="H82" s="13" t="str">
        <f t="shared" si="6"/>
        <v>July</v>
      </c>
      <c r="I82" s="6">
        <v>1200</v>
      </c>
      <c r="J82" s="6" t="str">
        <f t="shared" si="7"/>
        <v>Recorded</v>
      </c>
      <c r="K82" t="s">
        <v>1922</v>
      </c>
      <c r="L82" t="str">
        <f t="shared" si="9"/>
        <v>Regular</v>
      </c>
      <c r="M82" t="str">
        <f t="shared" si="8"/>
        <v>Not Provided</v>
      </c>
    </row>
    <row r="83" spans="1:13" ht="15.75" x14ac:dyDescent="0.3">
      <c r="A83" s="1" t="s">
        <v>1097</v>
      </c>
      <c r="B83" s="1" t="s">
        <v>1539</v>
      </c>
      <c r="C83">
        <v>20</v>
      </c>
      <c r="D83" s="1" t="s">
        <v>8</v>
      </c>
      <c r="E83" s="1" t="s">
        <v>1915</v>
      </c>
      <c r="F83" s="13">
        <v>26744</v>
      </c>
      <c r="G83" s="13" t="str">
        <f t="shared" si="5"/>
        <v>Wednesday</v>
      </c>
      <c r="H83" s="13" t="str">
        <f t="shared" si="6"/>
        <v>March</v>
      </c>
      <c r="I83" s="6">
        <v>6000</v>
      </c>
      <c r="J83" s="6" t="str">
        <f t="shared" si="7"/>
        <v>Recorded</v>
      </c>
      <c r="K83" t="s">
        <v>1922</v>
      </c>
      <c r="L83" t="str">
        <f t="shared" si="9"/>
        <v>Regular</v>
      </c>
      <c r="M83" t="str">
        <f t="shared" si="8"/>
        <v>Not Provided</v>
      </c>
    </row>
    <row r="84" spans="1:13" ht="15.75" x14ac:dyDescent="0.3">
      <c r="A84" s="1" t="s">
        <v>1098</v>
      </c>
      <c r="B84" s="1" t="s">
        <v>1540</v>
      </c>
      <c r="C84">
        <v>30</v>
      </c>
      <c r="D84" s="1" t="s">
        <v>8</v>
      </c>
      <c r="E84" s="1" t="s">
        <v>1915</v>
      </c>
      <c r="F84" s="13">
        <v>34807</v>
      </c>
      <c r="G84" s="13" t="str">
        <f t="shared" si="5"/>
        <v>Tuesday</v>
      </c>
      <c r="H84" s="13" t="str">
        <f t="shared" si="6"/>
        <v>April</v>
      </c>
      <c r="I84" s="6">
        <v>1500</v>
      </c>
      <c r="J84" s="6" t="str">
        <f t="shared" si="7"/>
        <v>Recorded</v>
      </c>
      <c r="K84" t="s">
        <v>1916</v>
      </c>
      <c r="L84" t="str">
        <f t="shared" si="9"/>
        <v>Regular</v>
      </c>
      <c r="M84" t="str">
        <f t="shared" si="8"/>
        <v>South Africa</v>
      </c>
    </row>
    <row r="85" spans="1:13" ht="15.75" x14ac:dyDescent="0.3">
      <c r="A85" s="1" t="s">
        <v>1099</v>
      </c>
      <c r="B85" s="1" t="s">
        <v>1541</v>
      </c>
      <c r="C85">
        <v>30</v>
      </c>
      <c r="D85" s="1" t="s">
        <v>8</v>
      </c>
      <c r="E85" s="1" t="s">
        <v>1915</v>
      </c>
      <c r="F85" s="13">
        <v>45529</v>
      </c>
      <c r="G85" s="13" t="str">
        <f t="shared" si="5"/>
        <v>Sunday</v>
      </c>
      <c r="H85" s="13" t="str">
        <f t="shared" si="6"/>
        <v>August</v>
      </c>
      <c r="I85" s="6">
        <v>1000</v>
      </c>
      <c r="J85" s="6" t="str">
        <f t="shared" si="7"/>
        <v>Recorded</v>
      </c>
      <c r="K85" t="s">
        <v>1916</v>
      </c>
      <c r="L85" t="str">
        <f t="shared" si="9"/>
        <v>Regular</v>
      </c>
      <c r="M85" t="str">
        <f t="shared" si="8"/>
        <v>South Africa</v>
      </c>
    </row>
    <row r="86" spans="1:13" ht="15.75" x14ac:dyDescent="0.3">
      <c r="A86" s="1" t="s">
        <v>1100</v>
      </c>
      <c r="B86" s="1" t="s">
        <v>1542</v>
      </c>
      <c r="C86">
        <v>20</v>
      </c>
      <c r="D86" s="1" t="s">
        <v>5</v>
      </c>
      <c r="E86" s="1" t="s">
        <v>1915</v>
      </c>
      <c r="F86" s="13">
        <v>37921</v>
      </c>
      <c r="G86" s="13" t="str">
        <f t="shared" si="5"/>
        <v>Monday</v>
      </c>
      <c r="H86" s="13" t="str">
        <f t="shared" si="6"/>
        <v>October</v>
      </c>
      <c r="I86" s="6">
        <v>969.30685053361901</v>
      </c>
      <c r="J86" s="6" t="str">
        <f t="shared" si="7"/>
        <v>Recorded</v>
      </c>
      <c r="K86" t="s">
        <v>1916</v>
      </c>
      <c r="L86" t="str">
        <f t="shared" si="9"/>
        <v>Regular</v>
      </c>
      <c r="M86" t="str">
        <f t="shared" si="8"/>
        <v>South Africa</v>
      </c>
    </row>
    <row r="87" spans="1:13" ht="15.75" x14ac:dyDescent="0.3">
      <c r="A87" s="1" t="s">
        <v>1101</v>
      </c>
      <c r="B87" s="1" t="s">
        <v>1543</v>
      </c>
      <c r="C87">
        <v>30</v>
      </c>
      <c r="D87" s="1" t="s">
        <v>8</v>
      </c>
      <c r="E87" s="1" t="s">
        <v>189</v>
      </c>
      <c r="F87" s="13">
        <v>39799</v>
      </c>
      <c r="G87" s="13" t="str">
        <f t="shared" si="5"/>
        <v>Wednesday</v>
      </c>
      <c r="H87" s="13" t="str">
        <f t="shared" si="6"/>
        <v>December</v>
      </c>
      <c r="I87" s="6">
        <v>9626.6635727363991</v>
      </c>
      <c r="J87" s="6" t="str">
        <f t="shared" si="7"/>
        <v>Recorded</v>
      </c>
      <c r="K87" t="s">
        <v>1922</v>
      </c>
      <c r="L87" t="str">
        <f t="shared" si="9"/>
        <v>Regular</v>
      </c>
      <c r="M87" t="str">
        <f t="shared" si="8"/>
        <v>Not Provided</v>
      </c>
    </row>
    <row r="88" spans="1:13" ht="15.75" x14ac:dyDescent="0.3">
      <c r="A88" s="1" t="s">
        <v>1102</v>
      </c>
      <c r="B88" s="1" t="s">
        <v>1544</v>
      </c>
      <c r="C88">
        <v>69</v>
      </c>
      <c r="D88" s="1" t="s">
        <v>8</v>
      </c>
      <c r="E88" s="1" t="s">
        <v>189</v>
      </c>
      <c r="F88" s="13">
        <v>45551</v>
      </c>
      <c r="G88" s="13" t="str">
        <f t="shared" si="5"/>
        <v>Monday</v>
      </c>
      <c r="H88" s="13" t="str">
        <f t="shared" si="6"/>
        <v>September</v>
      </c>
      <c r="I88" s="6">
        <v>9500</v>
      </c>
      <c r="J88" s="6" t="str">
        <f t="shared" si="7"/>
        <v>Recorded</v>
      </c>
      <c r="K88" t="s">
        <v>1918</v>
      </c>
      <c r="L88" t="str">
        <f t="shared" si="9"/>
        <v>Regular</v>
      </c>
      <c r="M88" t="str">
        <f t="shared" si="8"/>
        <v>India</v>
      </c>
    </row>
    <row r="89" spans="1:13" ht="15.75" x14ac:dyDescent="0.3">
      <c r="A89" s="1" t="s">
        <v>1103</v>
      </c>
      <c r="B89" s="1" t="s">
        <v>1545</v>
      </c>
      <c r="C89">
        <v>20</v>
      </c>
      <c r="D89" s="1" t="s">
        <v>8</v>
      </c>
      <c r="E89" s="1" t="s">
        <v>189</v>
      </c>
      <c r="F89" s="13">
        <v>40516</v>
      </c>
      <c r="G89" s="13" t="str">
        <f t="shared" si="5"/>
        <v>Saturday</v>
      </c>
      <c r="H89" s="13" t="str">
        <f t="shared" si="6"/>
        <v>December</v>
      </c>
      <c r="I89" s="6">
        <v>9500</v>
      </c>
      <c r="J89" s="6" t="str">
        <f t="shared" si="7"/>
        <v>Recorded</v>
      </c>
      <c r="K89" t="s">
        <v>1922</v>
      </c>
      <c r="L89" t="str">
        <f t="shared" si="9"/>
        <v>Regular</v>
      </c>
      <c r="M89" t="str">
        <f t="shared" si="8"/>
        <v>Not Provided</v>
      </c>
    </row>
    <row r="90" spans="1:13" ht="15.75" x14ac:dyDescent="0.3">
      <c r="A90" s="1" t="s">
        <v>1104</v>
      </c>
      <c r="B90" s="1" t="s">
        <v>1546</v>
      </c>
      <c r="C90">
        <v>20</v>
      </c>
      <c r="D90" s="1" t="s">
        <v>5</v>
      </c>
      <c r="E90" s="1" t="s">
        <v>1915</v>
      </c>
      <c r="F90" s="13">
        <v>45353</v>
      </c>
      <c r="G90" s="13" t="str">
        <f t="shared" si="5"/>
        <v>Saturday</v>
      </c>
      <c r="H90" s="13" t="str">
        <f t="shared" si="6"/>
        <v>March</v>
      </c>
      <c r="I90" s="6">
        <v>1500</v>
      </c>
      <c r="J90" s="6" t="str">
        <f t="shared" si="7"/>
        <v>Recorded</v>
      </c>
      <c r="K90" t="s">
        <v>1919</v>
      </c>
      <c r="L90" t="str">
        <f t="shared" si="9"/>
        <v>Regular</v>
      </c>
      <c r="M90" t="str">
        <f t="shared" si="8"/>
        <v>Spain</v>
      </c>
    </row>
    <row r="91" spans="1:13" ht="15.75" x14ac:dyDescent="0.3">
      <c r="A91" s="1" t="s">
        <v>1105</v>
      </c>
      <c r="B91" s="1" t="s">
        <v>1547</v>
      </c>
      <c r="C91">
        <v>27</v>
      </c>
      <c r="D91" s="1" t="s">
        <v>5</v>
      </c>
      <c r="E91" s="1" t="s">
        <v>189</v>
      </c>
      <c r="F91" s="13">
        <v>29065</v>
      </c>
      <c r="G91" s="13" t="str">
        <f t="shared" si="5"/>
        <v>Sunday</v>
      </c>
      <c r="H91" s="13" t="str">
        <f t="shared" si="6"/>
        <v>July</v>
      </c>
      <c r="I91" s="6">
        <v>9500</v>
      </c>
      <c r="J91" s="6" t="str">
        <f t="shared" si="7"/>
        <v>Recorded</v>
      </c>
      <c r="K91" t="s">
        <v>1922</v>
      </c>
      <c r="L91" t="str">
        <f t="shared" si="9"/>
        <v>Regular</v>
      </c>
      <c r="M91" t="str">
        <f t="shared" si="8"/>
        <v>Not Provided</v>
      </c>
    </row>
    <row r="92" spans="1:13" ht="15.75" x14ac:dyDescent="0.3">
      <c r="A92" s="1" t="s">
        <v>1106</v>
      </c>
      <c r="B92" s="1" t="s">
        <v>1548</v>
      </c>
      <c r="C92">
        <v>67</v>
      </c>
      <c r="D92" s="1" t="s">
        <v>5</v>
      </c>
      <c r="E92" s="1" t="s">
        <v>189</v>
      </c>
      <c r="F92" s="13">
        <v>35223</v>
      </c>
      <c r="G92" s="13" t="str">
        <f t="shared" si="5"/>
        <v>Friday</v>
      </c>
      <c r="H92" s="13" t="str">
        <f t="shared" si="6"/>
        <v>June</v>
      </c>
      <c r="I92" s="6">
        <v>9497.6640579601208</v>
      </c>
      <c r="J92" s="6" t="str">
        <f t="shared" si="7"/>
        <v>Recorded</v>
      </c>
      <c r="K92" t="s">
        <v>1917</v>
      </c>
      <c r="L92" t="str">
        <f t="shared" si="9"/>
        <v>Regular</v>
      </c>
      <c r="M92" t="str">
        <f t="shared" si="8"/>
        <v>Lagos</v>
      </c>
    </row>
    <row r="93" spans="1:13" ht="15.75" x14ac:dyDescent="0.3">
      <c r="A93" s="1" t="s">
        <v>1107</v>
      </c>
      <c r="B93" s="1" t="s">
        <v>1549</v>
      </c>
      <c r="C93">
        <v>30</v>
      </c>
      <c r="D93" s="1" t="s">
        <v>8</v>
      </c>
      <c r="E93" s="1" t="s">
        <v>189</v>
      </c>
      <c r="F93" s="13">
        <v>45418</v>
      </c>
      <c r="G93" s="13" t="str">
        <f t="shared" si="5"/>
        <v>Monday</v>
      </c>
      <c r="H93" s="13" t="str">
        <f t="shared" si="6"/>
        <v>May</v>
      </c>
      <c r="I93" s="6">
        <v>9500</v>
      </c>
      <c r="J93" s="6" t="str">
        <f t="shared" si="7"/>
        <v>Recorded</v>
      </c>
      <c r="K93" t="s">
        <v>1922</v>
      </c>
      <c r="L93" t="str">
        <f t="shared" si="9"/>
        <v>Regular</v>
      </c>
      <c r="M93" t="str">
        <f t="shared" si="8"/>
        <v>Not Provided</v>
      </c>
    </row>
    <row r="94" spans="1:13" ht="15.75" x14ac:dyDescent="0.3">
      <c r="A94" s="1" t="s">
        <v>1108</v>
      </c>
      <c r="B94" s="1" t="s">
        <v>1550</v>
      </c>
      <c r="C94">
        <v>63</v>
      </c>
      <c r="D94" s="1" t="s">
        <v>5</v>
      </c>
      <c r="E94" s="1" t="s">
        <v>1915</v>
      </c>
      <c r="F94" s="13">
        <v>42233</v>
      </c>
      <c r="G94" s="13" t="str">
        <f t="shared" si="5"/>
        <v>Monday</v>
      </c>
      <c r="H94" s="13" t="str">
        <f t="shared" si="6"/>
        <v>August</v>
      </c>
      <c r="I94" s="6">
        <v>9500</v>
      </c>
      <c r="J94" s="6" t="str">
        <f t="shared" si="7"/>
        <v>Recorded</v>
      </c>
      <c r="K94" t="s">
        <v>1916</v>
      </c>
      <c r="L94" t="str">
        <f t="shared" si="9"/>
        <v>Regular</v>
      </c>
      <c r="M94" t="str">
        <f t="shared" si="8"/>
        <v>South Africa</v>
      </c>
    </row>
    <row r="95" spans="1:13" ht="15.75" x14ac:dyDescent="0.3">
      <c r="A95" s="1" t="s">
        <v>1109</v>
      </c>
      <c r="B95" s="1" t="s">
        <v>1551</v>
      </c>
      <c r="C95">
        <v>30</v>
      </c>
      <c r="D95" s="1" t="s">
        <v>8</v>
      </c>
      <c r="E95" s="1" t="s">
        <v>1915</v>
      </c>
      <c r="F95" s="13">
        <v>40433</v>
      </c>
      <c r="G95" s="13" t="str">
        <f t="shared" si="5"/>
        <v>Sunday</v>
      </c>
      <c r="H95" s="13" t="str">
        <f t="shared" si="6"/>
        <v>September</v>
      </c>
      <c r="I95" s="6">
        <v>217.27134317407501</v>
      </c>
      <c r="J95" s="6" t="str">
        <f t="shared" si="7"/>
        <v>Recorded</v>
      </c>
      <c r="K95" t="s">
        <v>1919</v>
      </c>
      <c r="L95" t="str">
        <f t="shared" si="9"/>
        <v>Regular</v>
      </c>
      <c r="M95" t="str">
        <f t="shared" si="8"/>
        <v>Spain</v>
      </c>
    </row>
    <row r="96" spans="1:13" ht="15.75" x14ac:dyDescent="0.3">
      <c r="A96" s="1" t="s">
        <v>1110</v>
      </c>
      <c r="B96" s="1" t="s">
        <v>1552</v>
      </c>
      <c r="C96">
        <v>30</v>
      </c>
      <c r="D96" s="1" t="s">
        <v>5</v>
      </c>
      <c r="E96" s="1" t="s">
        <v>189</v>
      </c>
      <c r="F96" s="14">
        <v>43554</v>
      </c>
      <c r="G96" s="13" t="str">
        <f t="shared" si="5"/>
        <v>Saturday</v>
      </c>
      <c r="H96" s="13" t="str">
        <f t="shared" si="6"/>
        <v>March</v>
      </c>
      <c r="I96" s="6">
        <v>3200</v>
      </c>
      <c r="J96" s="6" t="str">
        <f t="shared" si="7"/>
        <v>Recorded</v>
      </c>
      <c r="K96" t="s">
        <v>1917</v>
      </c>
      <c r="L96" t="str">
        <f t="shared" si="9"/>
        <v>Regular</v>
      </c>
      <c r="M96" t="str">
        <f t="shared" si="8"/>
        <v>Lagos</v>
      </c>
    </row>
    <row r="97" spans="1:13" ht="15.75" x14ac:dyDescent="0.3">
      <c r="A97" s="1" t="s">
        <v>1111</v>
      </c>
      <c r="B97" s="1" t="s">
        <v>1553</v>
      </c>
      <c r="C97">
        <v>20</v>
      </c>
      <c r="D97" s="1" t="s">
        <v>8</v>
      </c>
      <c r="E97" s="1" t="s">
        <v>1915</v>
      </c>
      <c r="F97" s="13">
        <v>38788</v>
      </c>
      <c r="G97" s="13" t="str">
        <f t="shared" si="5"/>
        <v>Sunday</v>
      </c>
      <c r="H97" s="13" t="str">
        <f t="shared" si="6"/>
        <v>March</v>
      </c>
      <c r="I97" s="6">
        <v>9164.4125319253599</v>
      </c>
      <c r="J97" s="6" t="str">
        <f t="shared" si="7"/>
        <v>Recorded</v>
      </c>
      <c r="K97" t="s">
        <v>1918</v>
      </c>
      <c r="L97" t="str">
        <f t="shared" si="9"/>
        <v>Regular</v>
      </c>
      <c r="M97" t="str">
        <f t="shared" si="8"/>
        <v>India</v>
      </c>
    </row>
    <row r="98" spans="1:13" ht="15.75" x14ac:dyDescent="0.3">
      <c r="A98" s="1" t="s">
        <v>1112</v>
      </c>
      <c r="B98" s="1" t="s">
        <v>1554</v>
      </c>
      <c r="C98">
        <v>69</v>
      </c>
      <c r="D98" s="1" t="s">
        <v>5</v>
      </c>
      <c r="E98" s="1" t="s">
        <v>189</v>
      </c>
      <c r="F98" s="14">
        <v>43962</v>
      </c>
      <c r="G98" s="13" t="str">
        <f t="shared" si="5"/>
        <v>Monday</v>
      </c>
      <c r="H98" s="13" t="str">
        <f t="shared" si="6"/>
        <v>May</v>
      </c>
      <c r="I98" s="6">
        <v>972.09324437361602</v>
      </c>
      <c r="J98" s="6" t="str">
        <f t="shared" si="7"/>
        <v>Recorded</v>
      </c>
      <c r="K98" t="s">
        <v>1922</v>
      </c>
      <c r="L98" t="str">
        <f t="shared" si="9"/>
        <v>Regular</v>
      </c>
      <c r="M98" t="str">
        <f t="shared" si="8"/>
        <v>Not Provided</v>
      </c>
    </row>
    <row r="99" spans="1:13" ht="15.75" x14ac:dyDescent="0.3">
      <c r="A99" s="1" t="s">
        <v>1113</v>
      </c>
      <c r="B99" s="1" t="s">
        <v>1555</v>
      </c>
      <c r="C99">
        <v>37</v>
      </c>
      <c r="D99" s="1" t="s">
        <v>8</v>
      </c>
      <c r="E99" s="1" t="s">
        <v>1915</v>
      </c>
      <c r="F99" s="14">
        <v>43842</v>
      </c>
      <c r="G99" s="13" t="str">
        <f t="shared" si="5"/>
        <v>Sunday</v>
      </c>
      <c r="H99" s="13" t="str">
        <f t="shared" si="6"/>
        <v>January</v>
      </c>
      <c r="I99" s="6">
        <v>9500</v>
      </c>
      <c r="J99" s="6" t="str">
        <f t="shared" si="7"/>
        <v>Recorded</v>
      </c>
      <c r="K99" t="s">
        <v>1922</v>
      </c>
      <c r="L99" t="str">
        <f t="shared" si="9"/>
        <v>Regular</v>
      </c>
      <c r="M99" t="str">
        <f t="shared" si="8"/>
        <v>Not Provided</v>
      </c>
    </row>
    <row r="100" spans="1:13" ht="15.75" x14ac:dyDescent="0.3">
      <c r="A100" s="1" t="s">
        <v>1114</v>
      </c>
      <c r="B100" s="1" t="s">
        <v>1556</v>
      </c>
      <c r="C100">
        <v>20</v>
      </c>
      <c r="D100" s="1" t="s">
        <v>8</v>
      </c>
      <c r="E100" s="1" t="s">
        <v>189</v>
      </c>
      <c r="F100" s="13">
        <v>40723</v>
      </c>
      <c r="G100" s="13" t="str">
        <f t="shared" si="5"/>
        <v>Wednesday</v>
      </c>
      <c r="H100" s="13" t="str">
        <f t="shared" si="6"/>
        <v>June</v>
      </c>
      <c r="I100" s="6">
        <v>660.45277403917498</v>
      </c>
      <c r="J100" s="6" t="str">
        <f t="shared" si="7"/>
        <v>Recorded</v>
      </c>
      <c r="K100" t="s">
        <v>1922</v>
      </c>
      <c r="L100" t="str">
        <f t="shared" si="9"/>
        <v>Regular</v>
      </c>
      <c r="M100" t="str">
        <f t="shared" si="8"/>
        <v>Not Provided</v>
      </c>
    </row>
    <row r="101" spans="1:13" ht="15.75" x14ac:dyDescent="0.3">
      <c r="A101" s="1" t="s">
        <v>1115</v>
      </c>
      <c r="B101" s="1" t="s">
        <v>1557</v>
      </c>
      <c r="C101">
        <v>20</v>
      </c>
      <c r="D101" s="1" t="s">
        <v>5</v>
      </c>
      <c r="E101" s="1" t="s">
        <v>189</v>
      </c>
      <c r="F101" s="13">
        <v>43080</v>
      </c>
      <c r="G101" s="13" t="str">
        <f t="shared" si="5"/>
        <v>Monday</v>
      </c>
      <c r="H101" s="13" t="str">
        <f t="shared" si="6"/>
        <v>December</v>
      </c>
      <c r="I101" s="6">
        <v>611.78021298985504</v>
      </c>
      <c r="J101" s="6" t="str">
        <f t="shared" si="7"/>
        <v>Recorded</v>
      </c>
      <c r="K101" t="s">
        <v>1917</v>
      </c>
      <c r="L101" t="str">
        <f t="shared" si="9"/>
        <v>Regular</v>
      </c>
      <c r="M101" t="str">
        <f t="shared" si="8"/>
        <v>Lagos</v>
      </c>
    </row>
    <row r="102" spans="1:13" ht="15.75" x14ac:dyDescent="0.3">
      <c r="A102" s="1" t="s">
        <v>1116</v>
      </c>
      <c r="B102" s="1" t="s">
        <v>1558</v>
      </c>
      <c r="C102">
        <v>41</v>
      </c>
      <c r="D102" s="1" t="s">
        <v>5</v>
      </c>
      <c r="E102" s="1" t="s">
        <v>189</v>
      </c>
      <c r="F102" s="13">
        <v>37121</v>
      </c>
      <c r="G102" s="13" t="str">
        <f t="shared" si="5"/>
        <v>Saturday</v>
      </c>
      <c r="H102" s="13" t="str">
        <f t="shared" si="6"/>
        <v>August</v>
      </c>
      <c r="I102" s="6">
        <v>1500</v>
      </c>
      <c r="J102" s="6" t="str">
        <f t="shared" si="7"/>
        <v>Recorded</v>
      </c>
      <c r="K102" t="s">
        <v>1917</v>
      </c>
      <c r="L102" t="str">
        <f t="shared" si="9"/>
        <v>Regular</v>
      </c>
      <c r="M102" t="str">
        <f t="shared" si="8"/>
        <v>Lagos</v>
      </c>
    </row>
    <row r="103" spans="1:13" ht="15.75" x14ac:dyDescent="0.3">
      <c r="A103" s="1" t="s">
        <v>1117</v>
      </c>
      <c r="B103" s="1" t="s">
        <v>1559</v>
      </c>
      <c r="C103">
        <v>30</v>
      </c>
      <c r="D103" s="1" t="s">
        <v>70</v>
      </c>
      <c r="E103" s="1" t="s">
        <v>189</v>
      </c>
      <c r="F103" s="13">
        <v>26648</v>
      </c>
      <c r="G103" s="13" t="str">
        <f t="shared" si="5"/>
        <v>Friday</v>
      </c>
      <c r="H103" s="13" t="str">
        <f t="shared" si="6"/>
        <v>December</v>
      </c>
      <c r="I103" s="6">
        <v>618.26118861472298</v>
      </c>
      <c r="J103" s="6" t="str">
        <f t="shared" si="7"/>
        <v>Recorded</v>
      </c>
      <c r="K103" t="s">
        <v>1922</v>
      </c>
      <c r="L103" t="str">
        <f t="shared" si="9"/>
        <v>Regular</v>
      </c>
      <c r="M103" t="str">
        <f t="shared" si="8"/>
        <v>Not Provided</v>
      </c>
    </row>
    <row r="104" spans="1:13" ht="15.75" x14ac:dyDescent="0.3">
      <c r="A104" s="1" t="s">
        <v>1118</v>
      </c>
      <c r="B104" s="1" t="s">
        <v>1560</v>
      </c>
      <c r="C104">
        <v>30</v>
      </c>
      <c r="D104" s="1" t="s">
        <v>5</v>
      </c>
      <c r="E104" s="1" t="s">
        <v>1915</v>
      </c>
      <c r="F104" s="13">
        <v>41685</v>
      </c>
      <c r="G104" s="13" t="str">
        <f t="shared" si="5"/>
        <v>Saturday</v>
      </c>
      <c r="H104" s="13" t="str">
        <f t="shared" si="6"/>
        <v>February</v>
      </c>
      <c r="I104" s="6">
        <v>942.86936174279003</v>
      </c>
      <c r="J104" s="6" t="str">
        <f t="shared" si="7"/>
        <v>Recorded</v>
      </c>
      <c r="K104" t="s">
        <v>1916</v>
      </c>
      <c r="L104" t="str">
        <f t="shared" si="9"/>
        <v>Regular</v>
      </c>
      <c r="M104" t="str">
        <f t="shared" si="8"/>
        <v>South Africa</v>
      </c>
    </row>
    <row r="105" spans="1:13" ht="15.75" x14ac:dyDescent="0.3">
      <c r="A105" s="1" t="s">
        <v>1119</v>
      </c>
      <c r="B105" s="1" t="s">
        <v>1561</v>
      </c>
      <c r="C105">
        <v>56</v>
      </c>
      <c r="D105" s="1" t="s">
        <v>5</v>
      </c>
      <c r="E105" s="1" t="s">
        <v>189</v>
      </c>
      <c r="F105" s="13">
        <v>44665</v>
      </c>
      <c r="G105" s="13" t="str">
        <f t="shared" si="5"/>
        <v>Thursday</v>
      </c>
      <c r="H105" s="13" t="str">
        <f t="shared" si="6"/>
        <v>April</v>
      </c>
      <c r="I105" s="6">
        <v>767.640591072284</v>
      </c>
      <c r="J105" s="6" t="str">
        <f t="shared" si="7"/>
        <v>Recorded</v>
      </c>
      <c r="K105" t="s">
        <v>1918</v>
      </c>
      <c r="L105" t="str">
        <f t="shared" si="9"/>
        <v>Regular</v>
      </c>
      <c r="M105" t="str">
        <f t="shared" si="8"/>
        <v>India</v>
      </c>
    </row>
    <row r="106" spans="1:13" ht="15.75" x14ac:dyDescent="0.3">
      <c r="A106" s="1" t="s">
        <v>1120</v>
      </c>
      <c r="B106" s="1" t="s">
        <v>1562</v>
      </c>
      <c r="C106">
        <v>20</v>
      </c>
      <c r="D106" s="1" t="s">
        <v>5</v>
      </c>
      <c r="E106" s="1" t="s">
        <v>1915</v>
      </c>
      <c r="F106" s="14">
        <v>44742</v>
      </c>
      <c r="G106" s="13" t="str">
        <f t="shared" si="5"/>
        <v>Thursday</v>
      </c>
      <c r="H106" s="13" t="str">
        <f t="shared" si="6"/>
        <v>June</v>
      </c>
      <c r="I106" s="6">
        <v>9500</v>
      </c>
      <c r="J106" s="6" t="str">
        <f t="shared" si="7"/>
        <v>Recorded</v>
      </c>
      <c r="K106" t="s">
        <v>1917</v>
      </c>
      <c r="L106" t="str">
        <f t="shared" si="9"/>
        <v>Regular</v>
      </c>
      <c r="M106" t="str">
        <f t="shared" si="8"/>
        <v>Lagos</v>
      </c>
    </row>
    <row r="107" spans="1:13" ht="15.75" x14ac:dyDescent="0.3">
      <c r="A107" s="1" t="s">
        <v>1121</v>
      </c>
      <c r="B107" s="1" t="s">
        <v>1563</v>
      </c>
      <c r="C107">
        <v>30</v>
      </c>
      <c r="D107" s="1" t="s">
        <v>5</v>
      </c>
      <c r="E107" s="1" t="s">
        <v>189</v>
      </c>
      <c r="F107" s="13">
        <v>45373</v>
      </c>
      <c r="G107" s="13" t="str">
        <f t="shared" si="5"/>
        <v>Friday</v>
      </c>
      <c r="H107" s="13" t="str">
        <f t="shared" si="6"/>
        <v>March</v>
      </c>
      <c r="I107" s="6">
        <v>12000</v>
      </c>
      <c r="J107" s="6" t="str">
        <f t="shared" si="7"/>
        <v>Recorded</v>
      </c>
      <c r="K107" t="s">
        <v>1919</v>
      </c>
      <c r="L107" t="str">
        <f t="shared" si="9"/>
        <v>High value</v>
      </c>
      <c r="M107" t="str">
        <f t="shared" si="8"/>
        <v>Spain</v>
      </c>
    </row>
    <row r="108" spans="1:13" ht="15.75" x14ac:dyDescent="0.3">
      <c r="A108" s="1" t="s">
        <v>1122</v>
      </c>
      <c r="B108" s="1" t="s">
        <v>1564</v>
      </c>
      <c r="C108">
        <v>30</v>
      </c>
      <c r="D108" s="1" t="s">
        <v>8</v>
      </c>
      <c r="E108" s="1" t="s">
        <v>1915</v>
      </c>
      <c r="F108" s="14">
        <v>44509</v>
      </c>
      <c r="G108" s="13" t="str">
        <f t="shared" si="5"/>
        <v>Tuesday</v>
      </c>
      <c r="H108" s="13" t="str">
        <f t="shared" si="6"/>
        <v>November</v>
      </c>
      <c r="I108" s="6">
        <v>9891.8248113452501</v>
      </c>
      <c r="J108" s="6" t="str">
        <f t="shared" si="7"/>
        <v>Recorded</v>
      </c>
      <c r="K108" t="s">
        <v>1922</v>
      </c>
      <c r="L108" t="str">
        <f t="shared" si="9"/>
        <v>Regular</v>
      </c>
      <c r="M108" t="str">
        <f t="shared" si="8"/>
        <v>Not Provided</v>
      </c>
    </row>
    <row r="109" spans="1:13" ht="15.75" x14ac:dyDescent="0.3">
      <c r="A109" s="1" t="s">
        <v>1123</v>
      </c>
      <c r="B109" s="1" t="s">
        <v>1565</v>
      </c>
      <c r="C109">
        <v>19</v>
      </c>
      <c r="D109" s="1" t="s">
        <v>5</v>
      </c>
      <c r="E109" s="1" t="s">
        <v>189</v>
      </c>
      <c r="F109" s="13">
        <v>43932</v>
      </c>
      <c r="G109" s="13" t="str">
        <f t="shared" si="5"/>
        <v>Saturday</v>
      </c>
      <c r="H109" s="13" t="str">
        <f t="shared" si="6"/>
        <v>April</v>
      </c>
      <c r="I109" s="6">
        <v>13500</v>
      </c>
      <c r="J109" s="6" t="str">
        <f t="shared" si="7"/>
        <v>Recorded</v>
      </c>
      <c r="K109" t="s">
        <v>1919</v>
      </c>
      <c r="L109" t="str">
        <f t="shared" si="9"/>
        <v>High value</v>
      </c>
      <c r="M109" t="str">
        <f t="shared" si="8"/>
        <v>Spain</v>
      </c>
    </row>
    <row r="110" spans="1:13" ht="15.75" x14ac:dyDescent="0.3">
      <c r="A110" s="1" t="s">
        <v>1124</v>
      </c>
      <c r="B110" s="1" t="s">
        <v>1566</v>
      </c>
      <c r="C110">
        <v>30</v>
      </c>
      <c r="D110" s="1" t="s">
        <v>5</v>
      </c>
      <c r="E110" s="1" t="s">
        <v>1915</v>
      </c>
      <c r="F110" s="13">
        <v>34565</v>
      </c>
      <c r="G110" s="13" t="str">
        <f t="shared" si="5"/>
        <v>Friday</v>
      </c>
      <c r="H110" s="13" t="str">
        <f t="shared" si="6"/>
        <v>August</v>
      </c>
      <c r="I110" s="6">
        <v>6851.2632038280199</v>
      </c>
      <c r="J110" s="6" t="str">
        <f t="shared" si="7"/>
        <v>Recorded</v>
      </c>
      <c r="K110" t="s">
        <v>1922</v>
      </c>
      <c r="L110" t="str">
        <f t="shared" si="9"/>
        <v>Regular</v>
      </c>
      <c r="M110" t="str">
        <f t="shared" si="8"/>
        <v>Not Provided</v>
      </c>
    </row>
    <row r="111" spans="1:13" ht="15.75" x14ac:dyDescent="0.3">
      <c r="A111" s="1" t="s">
        <v>1125</v>
      </c>
      <c r="B111" s="1" t="s">
        <v>1567</v>
      </c>
      <c r="C111">
        <v>20</v>
      </c>
      <c r="D111" s="1" t="s">
        <v>5</v>
      </c>
      <c r="E111" s="1" t="s">
        <v>1915</v>
      </c>
      <c r="F111" s="13">
        <v>42195</v>
      </c>
      <c r="G111" s="13" t="str">
        <f t="shared" si="5"/>
        <v>Friday</v>
      </c>
      <c r="H111" s="13" t="str">
        <f t="shared" si="6"/>
        <v>July</v>
      </c>
      <c r="I111" s="6">
        <v>1759.7296563785601</v>
      </c>
      <c r="J111" s="6" t="str">
        <f t="shared" si="7"/>
        <v>Recorded</v>
      </c>
      <c r="K111" t="s">
        <v>1922</v>
      </c>
      <c r="L111" t="str">
        <f t="shared" si="9"/>
        <v>Regular</v>
      </c>
      <c r="M111" t="str">
        <f t="shared" si="8"/>
        <v>Not Provided</v>
      </c>
    </row>
    <row r="112" spans="1:13" ht="15.75" x14ac:dyDescent="0.3">
      <c r="A112" s="1" t="s">
        <v>1126</v>
      </c>
      <c r="B112" s="1" t="s">
        <v>1568</v>
      </c>
      <c r="C112">
        <v>30</v>
      </c>
      <c r="D112" s="1" t="s">
        <v>5</v>
      </c>
      <c r="E112" s="1" t="s">
        <v>1915</v>
      </c>
      <c r="F112" s="13">
        <v>45358</v>
      </c>
      <c r="G112" s="13" t="str">
        <f t="shared" si="5"/>
        <v>Thursday</v>
      </c>
      <c r="H112" s="13" t="str">
        <f t="shared" si="6"/>
        <v>March</v>
      </c>
      <c r="I112" s="6">
        <v>1500</v>
      </c>
      <c r="J112" s="6" t="str">
        <f t="shared" si="7"/>
        <v>Recorded</v>
      </c>
      <c r="K112" t="s">
        <v>1922</v>
      </c>
      <c r="L112" t="str">
        <f t="shared" si="9"/>
        <v>Regular</v>
      </c>
      <c r="M112" t="str">
        <f t="shared" si="8"/>
        <v>Not Provided</v>
      </c>
    </row>
    <row r="113" spans="1:13" ht="15.75" x14ac:dyDescent="0.3">
      <c r="A113" s="1" t="s">
        <v>1127</v>
      </c>
      <c r="B113" s="1" t="s">
        <v>1569</v>
      </c>
      <c r="C113">
        <v>30</v>
      </c>
      <c r="D113" s="1" t="s">
        <v>5</v>
      </c>
      <c r="E113" s="1" t="s">
        <v>189</v>
      </c>
      <c r="F113" s="13">
        <v>45375</v>
      </c>
      <c r="G113" s="13" t="str">
        <f t="shared" si="5"/>
        <v>Sunday</v>
      </c>
      <c r="H113" s="13" t="str">
        <f t="shared" si="6"/>
        <v>March</v>
      </c>
      <c r="I113" s="6">
        <v>9500</v>
      </c>
      <c r="J113" s="6" t="str">
        <f t="shared" si="7"/>
        <v>Recorded</v>
      </c>
      <c r="K113" t="s">
        <v>1917</v>
      </c>
      <c r="L113" t="str">
        <f t="shared" si="9"/>
        <v>Regular</v>
      </c>
      <c r="M113" t="str">
        <f t="shared" si="8"/>
        <v>Lagos</v>
      </c>
    </row>
    <row r="114" spans="1:13" ht="15.75" x14ac:dyDescent="0.3">
      <c r="A114" s="1" t="s">
        <v>1128</v>
      </c>
      <c r="B114" s="1" t="s">
        <v>1570</v>
      </c>
      <c r="C114">
        <v>30</v>
      </c>
      <c r="D114" s="1" t="s">
        <v>8</v>
      </c>
      <c r="E114" s="1" t="s">
        <v>189</v>
      </c>
      <c r="F114" s="13">
        <v>39524</v>
      </c>
      <c r="G114" s="13" t="str">
        <f t="shared" si="5"/>
        <v>Monday</v>
      </c>
      <c r="H114" s="13" t="str">
        <f t="shared" si="6"/>
        <v>March</v>
      </c>
      <c r="I114" s="6">
        <v>6400.49730467064</v>
      </c>
      <c r="J114" s="6" t="str">
        <f t="shared" si="7"/>
        <v>Recorded</v>
      </c>
      <c r="K114" t="s">
        <v>1922</v>
      </c>
      <c r="L114" t="str">
        <f t="shared" si="9"/>
        <v>Regular</v>
      </c>
      <c r="M114" t="str">
        <f t="shared" si="8"/>
        <v>Not Provided</v>
      </c>
    </row>
    <row r="115" spans="1:13" ht="15.75" x14ac:dyDescent="0.3">
      <c r="A115" s="1" t="s">
        <v>1129</v>
      </c>
      <c r="B115" s="1" t="s">
        <v>1571</v>
      </c>
      <c r="C115">
        <v>30</v>
      </c>
      <c r="D115" s="1" t="s">
        <v>8</v>
      </c>
      <c r="E115" s="1" t="s">
        <v>1915</v>
      </c>
      <c r="F115" s="13">
        <v>45554</v>
      </c>
      <c r="G115" s="13" t="str">
        <f t="shared" si="5"/>
        <v>Thursday</v>
      </c>
      <c r="H115" s="13" t="str">
        <f t="shared" si="6"/>
        <v>September</v>
      </c>
      <c r="I115" s="6">
        <v>726</v>
      </c>
      <c r="J115" s="6" t="str">
        <f t="shared" si="7"/>
        <v>Recorded</v>
      </c>
      <c r="K115" t="s">
        <v>1922</v>
      </c>
      <c r="L115" t="str">
        <f t="shared" si="9"/>
        <v>Regular</v>
      </c>
      <c r="M115" t="str">
        <f t="shared" si="8"/>
        <v>Not Provided</v>
      </c>
    </row>
    <row r="116" spans="1:13" ht="15.75" x14ac:dyDescent="0.3">
      <c r="A116" s="1" t="s">
        <v>1130</v>
      </c>
      <c r="B116" s="1" t="s">
        <v>1572</v>
      </c>
      <c r="C116">
        <v>20</v>
      </c>
      <c r="D116" s="1" t="s">
        <v>8</v>
      </c>
      <c r="E116" s="1" t="s">
        <v>1915</v>
      </c>
      <c r="F116" s="13">
        <v>38437</v>
      </c>
      <c r="G116" s="13" t="str">
        <f t="shared" si="5"/>
        <v>Saturday</v>
      </c>
      <c r="H116" s="13" t="str">
        <f t="shared" si="6"/>
        <v>March</v>
      </c>
      <c r="I116" s="6">
        <v>519.83410220161397</v>
      </c>
      <c r="J116" s="6" t="str">
        <f t="shared" si="7"/>
        <v>Recorded</v>
      </c>
      <c r="K116" t="s">
        <v>1919</v>
      </c>
      <c r="L116" t="str">
        <f t="shared" si="9"/>
        <v>Regular</v>
      </c>
      <c r="M116" t="str">
        <f t="shared" si="8"/>
        <v>Spain</v>
      </c>
    </row>
    <row r="117" spans="1:13" ht="15.75" x14ac:dyDescent="0.3">
      <c r="A117" s="1" t="s">
        <v>1131</v>
      </c>
      <c r="B117" s="1" t="s">
        <v>1573</v>
      </c>
      <c r="C117">
        <v>20</v>
      </c>
      <c r="D117" s="1" t="s">
        <v>5</v>
      </c>
      <c r="E117" s="1" t="s">
        <v>1915</v>
      </c>
      <c r="F117" s="13">
        <v>40363</v>
      </c>
      <c r="G117" s="13" t="str">
        <f t="shared" si="5"/>
        <v>Sunday</v>
      </c>
      <c r="H117" s="13" t="str">
        <f t="shared" si="6"/>
        <v>July</v>
      </c>
      <c r="I117" s="6">
        <v>1500</v>
      </c>
      <c r="J117" s="6" t="str">
        <f t="shared" si="7"/>
        <v>Recorded</v>
      </c>
      <c r="K117" t="s">
        <v>1922</v>
      </c>
      <c r="L117" t="str">
        <f t="shared" si="9"/>
        <v>Regular</v>
      </c>
      <c r="M117" t="str">
        <f t="shared" si="8"/>
        <v>Not Provided</v>
      </c>
    </row>
    <row r="118" spans="1:13" ht="15.75" x14ac:dyDescent="0.3">
      <c r="A118" s="1" t="s">
        <v>1132</v>
      </c>
      <c r="B118" s="1" t="s">
        <v>1574</v>
      </c>
      <c r="C118">
        <v>70</v>
      </c>
      <c r="D118" s="1" t="s">
        <v>8</v>
      </c>
      <c r="E118" s="1" t="s">
        <v>189</v>
      </c>
      <c r="F118" s="13">
        <v>43790</v>
      </c>
      <c r="G118" s="13" t="str">
        <f t="shared" si="5"/>
        <v>Thursday</v>
      </c>
      <c r="H118" s="13" t="str">
        <f t="shared" si="6"/>
        <v>November</v>
      </c>
      <c r="I118" s="6">
        <v>1500</v>
      </c>
      <c r="J118" s="6" t="str">
        <f t="shared" si="7"/>
        <v>Recorded</v>
      </c>
      <c r="K118" t="s">
        <v>1922</v>
      </c>
      <c r="L118" t="str">
        <f t="shared" si="9"/>
        <v>Regular</v>
      </c>
      <c r="M118" t="str">
        <f t="shared" si="8"/>
        <v>Not Provided</v>
      </c>
    </row>
    <row r="119" spans="1:13" ht="15.75" x14ac:dyDescent="0.3">
      <c r="A119" s="1" t="s">
        <v>1132</v>
      </c>
      <c r="B119" s="1" t="s">
        <v>1574</v>
      </c>
      <c r="C119">
        <v>30</v>
      </c>
      <c r="D119" s="1" t="s">
        <v>8</v>
      </c>
      <c r="E119" s="1" t="s">
        <v>1915</v>
      </c>
      <c r="F119" s="13">
        <v>43790</v>
      </c>
      <c r="G119" s="13" t="str">
        <f t="shared" si="5"/>
        <v>Thursday</v>
      </c>
      <c r="H119" s="13" t="str">
        <f t="shared" si="6"/>
        <v>November</v>
      </c>
      <c r="I119" s="6">
        <v>1500</v>
      </c>
      <c r="J119" s="6" t="str">
        <f t="shared" si="7"/>
        <v>Recorded</v>
      </c>
      <c r="K119" t="s">
        <v>1922</v>
      </c>
      <c r="L119" t="str">
        <f t="shared" si="9"/>
        <v>Regular</v>
      </c>
      <c r="M119" t="str">
        <f t="shared" si="8"/>
        <v>Not Provided</v>
      </c>
    </row>
    <row r="120" spans="1:13" ht="15.75" x14ac:dyDescent="0.3">
      <c r="A120" s="1" t="s">
        <v>1133</v>
      </c>
      <c r="B120" s="1" t="s">
        <v>1575</v>
      </c>
      <c r="C120">
        <v>20</v>
      </c>
      <c r="D120" s="1" t="s">
        <v>5</v>
      </c>
      <c r="E120" s="1" t="s">
        <v>189</v>
      </c>
      <c r="F120" s="13">
        <v>41369</v>
      </c>
      <c r="G120" s="13" t="str">
        <f t="shared" si="5"/>
        <v>Friday</v>
      </c>
      <c r="H120" s="13" t="str">
        <f t="shared" si="6"/>
        <v>April</v>
      </c>
      <c r="I120" s="6">
        <v>1500</v>
      </c>
      <c r="J120" s="6" t="str">
        <f t="shared" si="7"/>
        <v>Recorded</v>
      </c>
      <c r="K120" t="s">
        <v>1918</v>
      </c>
      <c r="L120" t="str">
        <f t="shared" si="9"/>
        <v>Regular</v>
      </c>
      <c r="M120" t="str">
        <f t="shared" si="8"/>
        <v>India</v>
      </c>
    </row>
    <row r="121" spans="1:13" ht="15.75" x14ac:dyDescent="0.3">
      <c r="A121" s="1" t="s">
        <v>1134</v>
      </c>
      <c r="B121" s="1" t="s">
        <v>1576</v>
      </c>
      <c r="C121">
        <v>56</v>
      </c>
      <c r="D121" s="1" t="s">
        <v>5</v>
      </c>
      <c r="E121" s="1" t="s">
        <v>189</v>
      </c>
      <c r="F121" s="13">
        <v>45321</v>
      </c>
      <c r="G121" s="13" t="str">
        <f t="shared" si="5"/>
        <v>Tuesday</v>
      </c>
      <c r="H121" s="13" t="str">
        <f t="shared" si="6"/>
        <v>January</v>
      </c>
      <c r="I121" s="6">
        <v>9500</v>
      </c>
      <c r="J121" s="6" t="str">
        <f t="shared" si="7"/>
        <v>Recorded</v>
      </c>
      <c r="K121" t="s">
        <v>1918</v>
      </c>
      <c r="L121" t="str">
        <f t="shared" si="9"/>
        <v>Regular</v>
      </c>
      <c r="M121" t="str">
        <f t="shared" si="8"/>
        <v>India</v>
      </c>
    </row>
    <row r="122" spans="1:13" ht="15.75" x14ac:dyDescent="0.3">
      <c r="A122" s="1" t="s">
        <v>1135</v>
      </c>
      <c r="B122" s="1" t="s">
        <v>1577</v>
      </c>
      <c r="C122">
        <v>30</v>
      </c>
      <c r="D122" s="1" t="s">
        <v>5</v>
      </c>
      <c r="E122" s="1" t="s">
        <v>1915</v>
      </c>
      <c r="F122" s="13">
        <v>40148</v>
      </c>
      <c r="G122" s="13" t="str">
        <f t="shared" si="5"/>
        <v>Tuesday</v>
      </c>
      <c r="H122" s="13" t="str">
        <f t="shared" si="6"/>
        <v>December</v>
      </c>
      <c r="I122" s="6">
        <v>386.011424105174</v>
      </c>
      <c r="J122" s="6" t="str">
        <f t="shared" si="7"/>
        <v>Recorded</v>
      </c>
      <c r="K122" t="s">
        <v>1922</v>
      </c>
      <c r="L122" t="str">
        <f t="shared" si="9"/>
        <v>Regular</v>
      </c>
      <c r="M122" t="str">
        <f t="shared" si="8"/>
        <v>Not Provided</v>
      </c>
    </row>
    <row r="123" spans="1:13" ht="15.75" x14ac:dyDescent="0.3">
      <c r="A123" s="1" t="s">
        <v>1136</v>
      </c>
      <c r="B123" s="1" t="s">
        <v>1578</v>
      </c>
      <c r="C123">
        <v>30</v>
      </c>
      <c r="D123" s="1" t="s">
        <v>8</v>
      </c>
      <c r="E123" s="1" t="s">
        <v>189</v>
      </c>
      <c r="F123" s="13">
        <v>41739</v>
      </c>
      <c r="G123" s="13" t="str">
        <f t="shared" si="5"/>
        <v>Thursday</v>
      </c>
      <c r="H123" s="13" t="str">
        <f t="shared" si="6"/>
        <v>April</v>
      </c>
      <c r="I123" s="6">
        <v>367.73734548621502</v>
      </c>
      <c r="J123" s="6" t="str">
        <f t="shared" si="7"/>
        <v>Recorded</v>
      </c>
      <c r="K123" t="s">
        <v>1922</v>
      </c>
      <c r="L123" t="str">
        <f t="shared" si="9"/>
        <v>Regular</v>
      </c>
      <c r="M123" t="str">
        <f t="shared" si="8"/>
        <v>Not Provided</v>
      </c>
    </row>
    <row r="124" spans="1:13" ht="15.75" x14ac:dyDescent="0.3">
      <c r="A124" s="1" t="s">
        <v>1137</v>
      </c>
      <c r="B124" s="1" t="s">
        <v>1579</v>
      </c>
      <c r="C124">
        <v>20</v>
      </c>
      <c r="D124" s="1" t="s">
        <v>5</v>
      </c>
      <c r="E124" s="1" t="s">
        <v>189</v>
      </c>
      <c r="F124" s="13">
        <v>39402</v>
      </c>
      <c r="G124" s="13" t="str">
        <f t="shared" si="5"/>
        <v>Friday</v>
      </c>
      <c r="H124" s="13" t="str">
        <f t="shared" si="6"/>
        <v>November</v>
      </c>
      <c r="I124" s="6">
        <v>17500</v>
      </c>
      <c r="J124" s="6" t="str">
        <f t="shared" si="7"/>
        <v>Recorded</v>
      </c>
      <c r="K124" t="s">
        <v>1919</v>
      </c>
      <c r="L124" t="str">
        <f t="shared" si="9"/>
        <v>High value</v>
      </c>
      <c r="M124" t="str">
        <f t="shared" si="8"/>
        <v>Spain</v>
      </c>
    </row>
    <row r="125" spans="1:13" ht="15.75" x14ac:dyDescent="0.3">
      <c r="A125" s="1" t="s">
        <v>1138</v>
      </c>
      <c r="B125" s="1" t="s">
        <v>1580</v>
      </c>
      <c r="C125">
        <v>30</v>
      </c>
      <c r="D125" s="1" t="s">
        <v>5</v>
      </c>
      <c r="E125" s="1" t="s">
        <v>189</v>
      </c>
      <c r="F125" s="14">
        <v>44255</v>
      </c>
      <c r="G125" s="13" t="str">
        <f t="shared" si="5"/>
        <v>Sunday</v>
      </c>
      <c r="H125" s="13" t="str">
        <f t="shared" si="6"/>
        <v>February</v>
      </c>
      <c r="I125" s="6">
        <v>475.98940927973598</v>
      </c>
      <c r="J125" s="6" t="str">
        <f t="shared" si="7"/>
        <v>Recorded</v>
      </c>
      <c r="K125" t="s">
        <v>1918</v>
      </c>
      <c r="L125" t="str">
        <f t="shared" si="9"/>
        <v>Regular</v>
      </c>
      <c r="M125" t="str">
        <f t="shared" si="8"/>
        <v>India</v>
      </c>
    </row>
    <row r="126" spans="1:13" ht="15.75" x14ac:dyDescent="0.3">
      <c r="A126" s="1" t="s">
        <v>1139</v>
      </c>
      <c r="B126" s="1" t="s">
        <v>1581</v>
      </c>
      <c r="C126">
        <v>30</v>
      </c>
      <c r="D126" s="1" t="s">
        <v>8</v>
      </c>
      <c r="E126" s="1" t="s">
        <v>1915</v>
      </c>
      <c r="F126" s="13">
        <v>42035</v>
      </c>
      <c r="G126" s="13" t="str">
        <f t="shared" si="5"/>
        <v>Saturday</v>
      </c>
      <c r="H126" s="13" t="str">
        <f t="shared" si="6"/>
        <v>January</v>
      </c>
      <c r="I126" s="6">
        <v>7500</v>
      </c>
      <c r="J126" s="6" t="str">
        <f t="shared" si="7"/>
        <v>Recorded</v>
      </c>
      <c r="K126" t="s">
        <v>1919</v>
      </c>
      <c r="L126" t="str">
        <f t="shared" si="9"/>
        <v>Regular</v>
      </c>
      <c r="M126" t="str">
        <f t="shared" si="8"/>
        <v>Spain</v>
      </c>
    </row>
    <row r="127" spans="1:13" ht="15.75" x14ac:dyDescent="0.3">
      <c r="A127" s="1" t="s">
        <v>1140</v>
      </c>
      <c r="B127" s="1" t="s">
        <v>1582</v>
      </c>
      <c r="C127">
        <v>19</v>
      </c>
      <c r="D127" s="1" t="s">
        <v>5</v>
      </c>
      <c r="E127" s="1" t="s">
        <v>1915</v>
      </c>
      <c r="F127" s="13">
        <v>44312</v>
      </c>
      <c r="G127" s="13" t="str">
        <f t="shared" si="5"/>
        <v>Monday</v>
      </c>
      <c r="H127" s="13" t="str">
        <f t="shared" si="6"/>
        <v>April</v>
      </c>
      <c r="I127" s="6">
        <v>9500</v>
      </c>
      <c r="J127" s="6" t="str">
        <f t="shared" si="7"/>
        <v>Recorded</v>
      </c>
      <c r="K127" t="s">
        <v>1919</v>
      </c>
      <c r="L127" t="str">
        <f t="shared" si="9"/>
        <v>Regular</v>
      </c>
      <c r="M127" t="str">
        <f t="shared" si="8"/>
        <v>Spain</v>
      </c>
    </row>
    <row r="128" spans="1:13" ht="15.75" x14ac:dyDescent="0.3">
      <c r="A128" s="1" t="s">
        <v>1141</v>
      </c>
      <c r="B128" s="1" t="s">
        <v>1583</v>
      </c>
      <c r="C128">
        <v>30</v>
      </c>
      <c r="D128" s="1" t="s">
        <v>5</v>
      </c>
      <c r="E128" s="1" t="s">
        <v>1915</v>
      </c>
      <c r="F128" s="13">
        <v>45513</v>
      </c>
      <c r="G128" s="13" t="str">
        <f t="shared" si="5"/>
        <v>Friday</v>
      </c>
      <c r="H128" s="13" t="str">
        <f t="shared" si="6"/>
        <v>August</v>
      </c>
      <c r="I128" s="6">
        <v>9500</v>
      </c>
      <c r="J128" s="6" t="str">
        <f t="shared" si="7"/>
        <v>Recorded</v>
      </c>
      <c r="K128" t="s">
        <v>1922</v>
      </c>
      <c r="L128" t="str">
        <f t="shared" si="9"/>
        <v>Regular</v>
      </c>
      <c r="M128" t="str">
        <f t="shared" si="8"/>
        <v>Not Provided</v>
      </c>
    </row>
    <row r="129" spans="1:13" ht="15.75" x14ac:dyDescent="0.3">
      <c r="A129" s="1" t="s">
        <v>1142</v>
      </c>
      <c r="B129" s="1" t="s">
        <v>1584</v>
      </c>
      <c r="C129">
        <v>52</v>
      </c>
      <c r="D129" s="1" t="s">
        <v>5</v>
      </c>
      <c r="E129" s="1" t="s">
        <v>1915</v>
      </c>
      <c r="F129" s="13">
        <v>43502</v>
      </c>
      <c r="G129" s="13" t="str">
        <f t="shared" si="5"/>
        <v>Wednesday</v>
      </c>
      <c r="H129" s="13" t="str">
        <f t="shared" si="6"/>
        <v>February</v>
      </c>
      <c r="I129" s="6">
        <v>440.00135868523699</v>
      </c>
      <c r="J129" s="6" t="str">
        <f t="shared" si="7"/>
        <v>Recorded</v>
      </c>
      <c r="K129" t="s">
        <v>1916</v>
      </c>
      <c r="L129" t="str">
        <f t="shared" si="9"/>
        <v>Regular</v>
      </c>
      <c r="M129" t="str">
        <f t="shared" si="8"/>
        <v>South Africa</v>
      </c>
    </row>
    <row r="130" spans="1:13" ht="15.75" x14ac:dyDescent="0.3">
      <c r="A130" s="1" t="s">
        <v>1143</v>
      </c>
      <c r="B130" s="1" t="s">
        <v>1585</v>
      </c>
      <c r="C130">
        <v>20</v>
      </c>
      <c r="D130" s="1" t="s">
        <v>5</v>
      </c>
      <c r="E130" s="1" t="s">
        <v>189</v>
      </c>
      <c r="F130" s="13">
        <v>42700</v>
      </c>
      <c r="G130" s="13" t="str">
        <f t="shared" si="5"/>
        <v>Saturday</v>
      </c>
      <c r="H130" s="13" t="str">
        <f t="shared" si="6"/>
        <v>November</v>
      </c>
      <c r="I130" s="6">
        <v>90.522945695275496</v>
      </c>
      <c r="J130" s="6" t="str">
        <f t="shared" si="7"/>
        <v>Recorded</v>
      </c>
      <c r="K130" t="s">
        <v>1922</v>
      </c>
      <c r="L130" t="str">
        <f t="shared" si="9"/>
        <v>Regular</v>
      </c>
      <c r="M130" t="str">
        <f t="shared" si="8"/>
        <v>Not Provided</v>
      </c>
    </row>
    <row r="131" spans="1:13" ht="15.75" x14ac:dyDescent="0.3">
      <c r="A131" s="1" t="s">
        <v>1144</v>
      </c>
      <c r="B131" s="1" t="s">
        <v>1586</v>
      </c>
      <c r="C131">
        <v>30</v>
      </c>
      <c r="D131" s="1" t="s">
        <v>8</v>
      </c>
      <c r="E131" s="1" t="s">
        <v>1915</v>
      </c>
      <c r="F131" s="13">
        <v>36364</v>
      </c>
      <c r="G131" s="13" t="str">
        <f t="shared" ref="G131:G194" si="10">TEXT(F131,"DDDD")</f>
        <v>Friday</v>
      </c>
      <c r="H131" s="13" t="str">
        <f t="shared" ref="H131:H194" si="11">TEXT(F131,"MMMM")</f>
        <v>July</v>
      </c>
      <c r="I131" s="6">
        <v>450</v>
      </c>
      <c r="J131" s="6" t="str">
        <f t="shared" ref="J131:J194" si="12">IF(LEN(TRIM(I131))=0,"Not Recorded","Recorded")</f>
        <v>Recorded</v>
      </c>
      <c r="K131" t="s">
        <v>1922</v>
      </c>
      <c r="L131" t="str">
        <f t="shared" si="9"/>
        <v>Regular</v>
      </c>
      <c r="M131" t="str">
        <f t="shared" ref="M131:M194" si="13">_xlfn.XLOOKUP(A131,A:A,K:K,"Not Provided",0)</f>
        <v>Not Provided</v>
      </c>
    </row>
    <row r="132" spans="1:13" ht="15.75" x14ac:dyDescent="0.3">
      <c r="A132" s="1" t="s">
        <v>1145</v>
      </c>
      <c r="B132" s="1" t="s">
        <v>1587</v>
      </c>
      <c r="C132">
        <v>20</v>
      </c>
      <c r="D132" s="1" t="s">
        <v>8</v>
      </c>
      <c r="E132" s="1" t="s">
        <v>189</v>
      </c>
      <c r="F132" s="13">
        <v>45349</v>
      </c>
      <c r="G132" s="13" t="str">
        <f t="shared" si="10"/>
        <v>Tuesday</v>
      </c>
      <c r="H132" s="13" t="str">
        <f t="shared" si="11"/>
        <v>February</v>
      </c>
      <c r="I132" s="6">
        <v>481.26238537476303</v>
      </c>
      <c r="J132" s="6" t="str">
        <f t="shared" si="12"/>
        <v>Recorded</v>
      </c>
      <c r="K132" t="s">
        <v>1917</v>
      </c>
      <c r="L132" t="str">
        <f t="shared" ref="L132:L195" si="14">IF(I132&gt;10000,"High value","Regular")</f>
        <v>Regular</v>
      </c>
      <c r="M132" t="str">
        <f t="shared" si="13"/>
        <v>Lagos</v>
      </c>
    </row>
    <row r="133" spans="1:13" ht="15.75" x14ac:dyDescent="0.3">
      <c r="A133" s="1" t="s">
        <v>1146</v>
      </c>
      <c r="B133" s="1" t="s">
        <v>1588</v>
      </c>
      <c r="C133">
        <v>30</v>
      </c>
      <c r="D133" s="1" t="s">
        <v>8</v>
      </c>
      <c r="E133" s="1" t="s">
        <v>189</v>
      </c>
      <c r="F133" s="13">
        <v>37228</v>
      </c>
      <c r="G133" s="13" t="str">
        <f t="shared" si="10"/>
        <v>Monday</v>
      </c>
      <c r="H133" s="13" t="str">
        <f t="shared" si="11"/>
        <v>December</v>
      </c>
      <c r="I133" s="6">
        <v>2322.9565305414499</v>
      </c>
      <c r="J133" s="6" t="str">
        <f t="shared" si="12"/>
        <v>Recorded</v>
      </c>
      <c r="K133" t="s">
        <v>1916</v>
      </c>
      <c r="L133" t="str">
        <f t="shared" si="14"/>
        <v>Regular</v>
      </c>
      <c r="M133" t="str">
        <f t="shared" si="13"/>
        <v>South Africa</v>
      </c>
    </row>
    <row r="134" spans="1:13" ht="15.75" x14ac:dyDescent="0.3">
      <c r="A134" s="1" t="s">
        <v>1147</v>
      </c>
      <c r="B134" s="1" t="s">
        <v>1589</v>
      </c>
      <c r="C134">
        <v>30</v>
      </c>
      <c r="D134" s="1" t="s">
        <v>8</v>
      </c>
      <c r="E134" s="1" t="s">
        <v>189</v>
      </c>
      <c r="F134" s="14">
        <v>44369</v>
      </c>
      <c r="G134" s="13" t="str">
        <f t="shared" si="10"/>
        <v>Tuesday</v>
      </c>
      <c r="H134" s="13" t="str">
        <f t="shared" si="11"/>
        <v>June</v>
      </c>
      <c r="I134" s="6">
        <v>1500</v>
      </c>
      <c r="J134" s="6" t="str">
        <f t="shared" si="12"/>
        <v>Recorded</v>
      </c>
      <c r="K134" t="s">
        <v>1917</v>
      </c>
      <c r="L134" t="str">
        <f t="shared" si="14"/>
        <v>Regular</v>
      </c>
      <c r="M134" t="str">
        <f t="shared" si="13"/>
        <v>Lagos</v>
      </c>
    </row>
    <row r="135" spans="1:13" ht="15.75" x14ac:dyDescent="0.3">
      <c r="A135" s="1" t="s">
        <v>1148</v>
      </c>
      <c r="B135" s="1" t="s">
        <v>1590</v>
      </c>
      <c r="C135">
        <v>20</v>
      </c>
      <c r="D135" s="1" t="s">
        <v>5</v>
      </c>
      <c r="E135" s="1" t="s">
        <v>189</v>
      </c>
      <c r="F135" s="13">
        <v>37779</v>
      </c>
      <c r="G135" s="13" t="str">
        <f t="shared" si="10"/>
        <v>Saturday</v>
      </c>
      <c r="H135" s="13" t="str">
        <f t="shared" si="11"/>
        <v>June</v>
      </c>
      <c r="I135" s="6">
        <v>7097.8406167323101</v>
      </c>
      <c r="J135" s="6" t="str">
        <f t="shared" si="12"/>
        <v>Recorded</v>
      </c>
      <c r="K135" t="s">
        <v>1919</v>
      </c>
      <c r="L135" t="str">
        <f t="shared" si="14"/>
        <v>Regular</v>
      </c>
      <c r="M135" t="str">
        <f t="shared" si="13"/>
        <v>Spain</v>
      </c>
    </row>
    <row r="136" spans="1:13" ht="15.75" x14ac:dyDescent="0.3">
      <c r="A136" s="1" t="s">
        <v>1149</v>
      </c>
      <c r="B136" s="1" t="s">
        <v>1591</v>
      </c>
      <c r="C136">
        <v>20</v>
      </c>
      <c r="D136" s="1" t="s">
        <v>8</v>
      </c>
      <c r="E136" s="1" t="s">
        <v>1915</v>
      </c>
      <c r="F136" s="13">
        <v>34039</v>
      </c>
      <c r="G136" s="13" t="str">
        <f t="shared" si="10"/>
        <v>Thursday</v>
      </c>
      <c r="H136" s="13" t="str">
        <f t="shared" si="11"/>
        <v>March</v>
      </c>
      <c r="I136" s="6">
        <v>120</v>
      </c>
      <c r="J136" s="6" t="str">
        <f t="shared" si="12"/>
        <v>Recorded</v>
      </c>
      <c r="K136" t="s">
        <v>1918</v>
      </c>
      <c r="L136" t="str">
        <f t="shared" si="14"/>
        <v>Regular</v>
      </c>
      <c r="M136" t="str">
        <f t="shared" si="13"/>
        <v>India</v>
      </c>
    </row>
    <row r="137" spans="1:13" ht="15.75" x14ac:dyDescent="0.3">
      <c r="A137" s="1" t="s">
        <v>1150</v>
      </c>
      <c r="B137" s="1" t="s">
        <v>1592</v>
      </c>
      <c r="C137">
        <v>20</v>
      </c>
      <c r="D137" s="1" t="s">
        <v>8</v>
      </c>
      <c r="E137" s="1" t="s">
        <v>189</v>
      </c>
      <c r="F137" s="13">
        <v>27923</v>
      </c>
      <c r="G137" s="13" t="str">
        <f t="shared" si="10"/>
        <v>Saturday</v>
      </c>
      <c r="H137" s="13" t="str">
        <f t="shared" si="11"/>
        <v>June</v>
      </c>
      <c r="I137" s="6">
        <v>443.98998918419301</v>
      </c>
      <c r="J137" s="6" t="str">
        <f t="shared" si="12"/>
        <v>Recorded</v>
      </c>
      <c r="K137" t="s">
        <v>1917</v>
      </c>
      <c r="L137" t="str">
        <f t="shared" si="14"/>
        <v>Regular</v>
      </c>
      <c r="M137" t="str">
        <f t="shared" si="13"/>
        <v>Lagos</v>
      </c>
    </row>
    <row r="138" spans="1:13" ht="15.75" x14ac:dyDescent="0.3">
      <c r="A138" s="1" t="s">
        <v>1151</v>
      </c>
      <c r="B138" s="1" t="s">
        <v>1593</v>
      </c>
      <c r="C138">
        <v>30</v>
      </c>
      <c r="D138" s="1" t="s">
        <v>70</v>
      </c>
      <c r="E138" s="1" t="s">
        <v>189</v>
      </c>
      <c r="F138" s="13">
        <v>36570</v>
      </c>
      <c r="G138" s="13" t="str">
        <f t="shared" si="10"/>
        <v>Monday</v>
      </c>
      <c r="H138" s="13" t="str">
        <f t="shared" si="11"/>
        <v>February</v>
      </c>
      <c r="I138" s="6">
        <v>1780</v>
      </c>
      <c r="J138" s="6" t="str">
        <f t="shared" si="12"/>
        <v>Recorded</v>
      </c>
      <c r="K138" t="s">
        <v>1922</v>
      </c>
      <c r="L138" t="str">
        <f t="shared" si="14"/>
        <v>Regular</v>
      </c>
      <c r="M138" t="str">
        <f t="shared" si="13"/>
        <v>Not Provided</v>
      </c>
    </row>
    <row r="139" spans="1:13" ht="15.75" x14ac:dyDescent="0.3">
      <c r="A139" s="1" t="s">
        <v>1152</v>
      </c>
      <c r="B139" s="1" t="s">
        <v>1594</v>
      </c>
      <c r="C139">
        <v>30</v>
      </c>
      <c r="D139" s="1" t="s">
        <v>8</v>
      </c>
      <c r="E139" s="1" t="s">
        <v>189</v>
      </c>
      <c r="F139" s="13">
        <v>45368</v>
      </c>
      <c r="G139" s="13" t="str">
        <f t="shared" si="10"/>
        <v>Sunday</v>
      </c>
      <c r="H139" s="13" t="str">
        <f t="shared" si="11"/>
        <v>March</v>
      </c>
      <c r="I139" s="6">
        <v>1500</v>
      </c>
      <c r="J139" s="6" t="str">
        <f t="shared" si="12"/>
        <v>Recorded</v>
      </c>
      <c r="K139" t="s">
        <v>1917</v>
      </c>
      <c r="L139" t="str">
        <f t="shared" si="14"/>
        <v>Regular</v>
      </c>
      <c r="M139" t="str">
        <f t="shared" si="13"/>
        <v>Lagos</v>
      </c>
    </row>
    <row r="140" spans="1:13" ht="15.75" x14ac:dyDescent="0.3">
      <c r="A140" s="1" t="s">
        <v>1153</v>
      </c>
      <c r="B140" s="1" t="s">
        <v>1595</v>
      </c>
      <c r="C140">
        <v>30</v>
      </c>
      <c r="D140" s="1" t="s">
        <v>8</v>
      </c>
      <c r="E140" s="1" t="s">
        <v>1915</v>
      </c>
      <c r="F140" s="13">
        <v>42489</v>
      </c>
      <c r="G140" s="13" t="str">
        <f t="shared" si="10"/>
        <v>Friday</v>
      </c>
      <c r="H140" s="13" t="str">
        <f t="shared" si="11"/>
        <v>April</v>
      </c>
      <c r="I140" s="6">
        <v>5400</v>
      </c>
      <c r="J140" s="6" t="str">
        <f t="shared" si="12"/>
        <v>Recorded</v>
      </c>
      <c r="K140" t="s">
        <v>1922</v>
      </c>
      <c r="L140" t="str">
        <f t="shared" si="14"/>
        <v>Regular</v>
      </c>
      <c r="M140" t="str">
        <f t="shared" si="13"/>
        <v>Not Provided</v>
      </c>
    </row>
    <row r="141" spans="1:13" ht="15.75" x14ac:dyDescent="0.3">
      <c r="A141" s="1" t="s">
        <v>1154</v>
      </c>
      <c r="B141" s="1" t="s">
        <v>1596</v>
      </c>
      <c r="C141">
        <v>30</v>
      </c>
      <c r="D141" s="1" t="s">
        <v>5</v>
      </c>
      <c r="E141" s="1" t="s">
        <v>189</v>
      </c>
      <c r="F141" s="13">
        <v>36661</v>
      </c>
      <c r="G141" s="13" t="str">
        <f t="shared" si="10"/>
        <v>Monday</v>
      </c>
      <c r="H141" s="13" t="str">
        <f t="shared" si="11"/>
        <v>May</v>
      </c>
      <c r="I141" s="6">
        <v>34000</v>
      </c>
      <c r="J141" s="6" t="str">
        <f t="shared" si="12"/>
        <v>Recorded</v>
      </c>
      <c r="K141" t="s">
        <v>1917</v>
      </c>
      <c r="L141" t="str">
        <f t="shared" si="14"/>
        <v>High value</v>
      </c>
      <c r="M141" t="str">
        <f t="shared" si="13"/>
        <v>Lagos</v>
      </c>
    </row>
    <row r="142" spans="1:13" ht="15.75" x14ac:dyDescent="0.3">
      <c r="A142" s="1" t="s">
        <v>1155</v>
      </c>
      <c r="B142" s="1" t="s">
        <v>1597</v>
      </c>
      <c r="C142">
        <v>60</v>
      </c>
      <c r="D142" s="1" t="s">
        <v>8</v>
      </c>
      <c r="E142" s="1" t="s">
        <v>189</v>
      </c>
      <c r="F142" s="13">
        <v>42870</v>
      </c>
      <c r="G142" s="13" t="str">
        <f t="shared" si="10"/>
        <v>Monday</v>
      </c>
      <c r="H142" s="13" t="str">
        <f t="shared" si="11"/>
        <v>May</v>
      </c>
      <c r="I142" s="6">
        <v>807.57771146249695</v>
      </c>
      <c r="J142" s="6" t="str">
        <f t="shared" si="12"/>
        <v>Recorded</v>
      </c>
      <c r="K142" t="s">
        <v>1916</v>
      </c>
      <c r="L142" t="str">
        <f t="shared" si="14"/>
        <v>Regular</v>
      </c>
      <c r="M142" t="str">
        <f t="shared" si="13"/>
        <v>South Africa</v>
      </c>
    </row>
    <row r="143" spans="1:13" ht="15.75" x14ac:dyDescent="0.3">
      <c r="A143" s="1" t="s">
        <v>1156</v>
      </c>
      <c r="B143" s="1" t="s">
        <v>1598</v>
      </c>
      <c r="C143">
        <v>30</v>
      </c>
      <c r="D143" s="1" t="s">
        <v>5</v>
      </c>
      <c r="E143" s="1" t="s">
        <v>189</v>
      </c>
      <c r="F143" s="13">
        <v>44436</v>
      </c>
      <c r="G143" s="13" t="str">
        <f t="shared" si="10"/>
        <v>Saturday</v>
      </c>
      <c r="H143" s="13" t="str">
        <f t="shared" si="11"/>
        <v>August</v>
      </c>
      <c r="I143" s="6">
        <v>9500</v>
      </c>
      <c r="J143" s="6" t="str">
        <f t="shared" si="12"/>
        <v>Recorded</v>
      </c>
      <c r="K143" t="s">
        <v>1922</v>
      </c>
      <c r="L143" t="str">
        <f t="shared" si="14"/>
        <v>Regular</v>
      </c>
      <c r="M143" t="str">
        <f t="shared" si="13"/>
        <v>Not Provided</v>
      </c>
    </row>
    <row r="144" spans="1:13" ht="15.75" x14ac:dyDescent="0.3">
      <c r="A144" s="1" t="s">
        <v>1157</v>
      </c>
      <c r="B144" s="1" t="s">
        <v>1599</v>
      </c>
      <c r="C144">
        <v>32</v>
      </c>
      <c r="D144" s="1" t="s">
        <v>70</v>
      </c>
      <c r="E144" s="1" t="s">
        <v>1915</v>
      </c>
      <c r="F144" s="13">
        <v>45292</v>
      </c>
      <c r="G144" s="13" t="str">
        <f t="shared" si="10"/>
        <v>Monday</v>
      </c>
      <c r="H144" s="13" t="str">
        <f t="shared" si="11"/>
        <v>January</v>
      </c>
      <c r="I144" s="6">
        <v>1500</v>
      </c>
      <c r="J144" s="6" t="str">
        <f t="shared" si="12"/>
        <v>Recorded</v>
      </c>
      <c r="K144" t="s">
        <v>1922</v>
      </c>
      <c r="L144" t="str">
        <f t="shared" si="14"/>
        <v>Regular</v>
      </c>
      <c r="M144" t="str">
        <f t="shared" si="13"/>
        <v>Not Provided</v>
      </c>
    </row>
    <row r="145" spans="1:13" ht="15.75" x14ac:dyDescent="0.3">
      <c r="A145" s="1" t="s">
        <v>1158</v>
      </c>
      <c r="B145" s="1" t="s">
        <v>1600</v>
      </c>
      <c r="C145">
        <v>30</v>
      </c>
      <c r="D145" s="1" t="s">
        <v>8</v>
      </c>
      <c r="E145" s="1" t="s">
        <v>1915</v>
      </c>
      <c r="F145" s="14">
        <v>44428</v>
      </c>
      <c r="G145" s="13" t="str">
        <f t="shared" si="10"/>
        <v>Friday</v>
      </c>
      <c r="H145" s="13" t="str">
        <f t="shared" si="11"/>
        <v>August</v>
      </c>
      <c r="I145" s="6">
        <v>1500</v>
      </c>
      <c r="J145" s="6" t="str">
        <f t="shared" si="12"/>
        <v>Recorded</v>
      </c>
      <c r="K145" t="s">
        <v>1918</v>
      </c>
      <c r="L145" t="str">
        <f t="shared" si="14"/>
        <v>Regular</v>
      </c>
      <c r="M145" t="str">
        <f t="shared" si="13"/>
        <v>India</v>
      </c>
    </row>
    <row r="146" spans="1:13" ht="15.75" x14ac:dyDescent="0.3">
      <c r="A146" s="1" t="s">
        <v>1159</v>
      </c>
      <c r="B146" s="1" t="s">
        <v>1601</v>
      </c>
      <c r="C146">
        <v>20</v>
      </c>
      <c r="D146" s="1" t="s">
        <v>5</v>
      </c>
      <c r="E146" s="1" t="s">
        <v>189</v>
      </c>
      <c r="F146" s="13">
        <v>45631</v>
      </c>
      <c r="G146" s="13" t="str">
        <f t="shared" si="10"/>
        <v>Thursday</v>
      </c>
      <c r="H146" s="13" t="str">
        <f t="shared" si="11"/>
        <v>December</v>
      </c>
      <c r="I146" s="6">
        <v>9500</v>
      </c>
      <c r="J146" s="6" t="str">
        <f t="shared" si="12"/>
        <v>Recorded</v>
      </c>
      <c r="K146" t="s">
        <v>1922</v>
      </c>
      <c r="L146" t="str">
        <f t="shared" si="14"/>
        <v>Regular</v>
      </c>
      <c r="M146" t="str">
        <f t="shared" si="13"/>
        <v>Not Provided</v>
      </c>
    </row>
    <row r="147" spans="1:13" ht="15.75" x14ac:dyDescent="0.3">
      <c r="A147" s="1" t="s">
        <v>1160</v>
      </c>
      <c r="B147" s="1" t="s">
        <v>1602</v>
      </c>
      <c r="C147">
        <v>30</v>
      </c>
      <c r="D147" s="1" t="s">
        <v>8</v>
      </c>
      <c r="E147" s="1" t="s">
        <v>1915</v>
      </c>
      <c r="F147" s="13">
        <v>39259</v>
      </c>
      <c r="G147" s="13" t="str">
        <f t="shared" si="10"/>
        <v>Tuesday</v>
      </c>
      <c r="H147" s="13" t="str">
        <f t="shared" si="11"/>
        <v>June</v>
      </c>
      <c r="I147" s="6">
        <v>812.99942048489299</v>
      </c>
      <c r="J147" s="6" t="str">
        <f t="shared" si="12"/>
        <v>Recorded</v>
      </c>
      <c r="K147" t="s">
        <v>1917</v>
      </c>
      <c r="L147" t="str">
        <f t="shared" si="14"/>
        <v>Regular</v>
      </c>
      <c r="M147" t="str">
        <f t="shared" si="13"/>
        <v>Lagos</v>
      </c>
    </row>
    <row r="148" spans="1:13" ht="15.75" x14ac:dyDescent="0.3">
      <c r="A148" s="1" t="s">
        <v>1161</v>
      </c>
      <c r="B148" s="1" t="s">
        <v>1603</v>
      </c>
      <c r="C148">
        <v>20</v>
      </c>
      <c r="D148" s="1" t="s">
        <v>5</v>
      </c>
      <c r="E148" s="1" t="s">
        <v>1915</v>
      </c>
      <c r="F148" s="13">
        <v>45534</v>
      </c>
      <c r="G148" s="13" t="str">
        <f t="shared" si="10"/>
        <v>Friday</v>
      </c>
      <c r="H148" s="13" t="str">
        <f t="shared" si="11"/>
        <v>August</v>
      </c>
      <c r="I148" s="6">
        <v>1500</v>
      </c>
      <c r="J148" s="6" t="str">
        <f t="shared" si="12"/>
        <v>Recorded</v>
      </c>
      <c r="K148" t="s">
        <v>1919</v>
      </c>
      <c r="L148" t="str">
        <f t="shared" si="14"/>
        <v>Regular</v>
      </c>
      <c r="M148" t="str">
        <f t="shared" si="13"/>
        <v>Spain</v>
      </c>
    </row>
    <row r="149" spans="1:13" ht="15.75" x14ac:dyDescent="0.3">
      <c r="A149" s="1" t="s">
        <v>1162</v>
      </c>
      <c r="B149" s="1" t="s">
        <v>1604</v>
      </c>
      <c r="C149">
        <v>30</v>
      </c>
      <c r="D149" s="1" t="s">
        <v>5</v>
      </c>
      <c r="E149" s="1" t="s">
        <v>1915</v>
      </c>
      <c r="F149" s="13">
        <v>45368</v>
      </c>
      <c r="G149" s="13" t="str">
        <f t="shared" si="10"/>
        <v>Sunday</v>
      </c>
      <c r="H149" s="13" t="str">
        <f t="shared" si="11"/>
        <v>March</v>
      </c>
      <c r="I149" s="6">
        <v>6273.8918029696097</v>
      </c>
      <c r="J149" s="6" t="str">
        <f t="shared" si="12"/>
        <v>Recorded</v>
      </c>
      <c r="K149" t="s">
        <v>1922</v>
      </c>
      <c r="L149" t="str">
        <f t="shared" si="14"/>
        <v>Regular</v>
      </c>
      <c r="M149" t="str">
        <f t="shared" si="13"/>
        <v>Not Provided</v>
      </c>
    </row>
    <row r="150" spans="1:13" ht="15.75" x14ac:dyDescent="0.3">
      <c r="A150" s="1" t="s">
        <v>1163</v>
      </c>
      <c r="B150" s="1" t="s">
        <v>1605</v>
      </c>
      <c r="C150">
        <v>30</v>
      </c>
      <c r="D150" s="1" t="s">
        <v>8</v>
      </c>
      <c r="E150" s="1" t="s">
        <v>1915</v>
      </c>
      <c r="F150" s="13">
        <v>37933</v>
      </c>
      <c r="G150" s="13" t="str">
        <f t="shared" si="10"/>
        <v>Saturday</v>
      </c>
      <c r="H150" s="13" t="str">
        <f t="shared" si="11"/>
        <v>November</v>
      </c>
      <c r="I150" s="6">
        <v>4356.8076140807198</v>
      </c>
      <c r="J150" s="6" t="str">
        <f t="shared" si="12"/>
        <v>Recorded</v>
      </c>
      <c r="K150" t="s">
        <v>1919</v>
      </c>
      <c r="L150" t="str">
        <f t="shared" si="14"/>
        <v>Regular</v>
      </c>
      <c r="M150" t="str">
        <f t="shared" si="13"/>
        <v>Spain</v>
      </c>
    </row>
    <row r="151" spans="1:13" ht="15.75" x14ac:dyDescent="0.3">
      <c r="A151" s="1" t="s">
        <v>1164</v>
      </c>
      <c r="B151" s="1" t="s">
        <v>1606</v>
      </c>
      <c r="C151">
        <v>20</v>
      </c>
      <c r="D151" s="1" t="s">
        <v>8</v>
      </c>
      <c r="E151" s="1" t="s">
        <v>1915</v>
      </c>
      <c r="F151" s="13">
        <v>45184</v>
      </c>
      <c r="G151" s="13" t="str">
        <f t="shared" si="10"/>
        <v>Friday</v>
      </c>
      <c r="H151" s="13" t="str">
        <f t="shared" si="11"/>
        <v>September</v>
      </c>
      <c r="I151" s="6">
        <v>1500</v>
      </c>
      <c r="J151" s="6" t="str">
        <f t="shared" si="12"/>
        <v>Recorded</v>
      </c>
      <c r="K151" t="s">
        <v>1922</v>
      </c>
      <c r="L151" t="str">
        <f t="shared" si="14"/>
        <v>Regular</v>
      </c>
      <c r="M151" t="str">
        <f t="shared" si="13"/>
        <v>Not Provided</v>
      </c>
    </row>
    <row r="152" spans="1:13" ht="15.75" x14ac:dyDescent="0.3">
      <c r="A152" s="1" t="s">
        <v>1165</v>
      </c>
      <c r="B152" s="1" t="s">
        <v>1607</v>
      </c>
      <c r="C152">
        <v>37</v>
      </c>
      <c r="D152" s="1" t="s">
        <v>8</v>
      </c>
      <c r="E152" s="1" t="s">
        <v>189</v>
      </c>
      <c r="F152" s="13">
        <v>38629</v>
      </c>
      <c r="G152" s="13" t="str">
        <f t="shared" si="10"/>
        <v>Tuesday</v>
      </c>
      <c r="H152" s="13" t="str">
        <f t="shared" si="11"/>
        <v>October</v>
      </c>
      <c r="I152" s="6">
        <v>618.46916320055902</v>
      </c>
      <c r="J152" s="6" t="str">
        <f t="shared" si="12"/>
        <v>Recorded</v>
      </c>
      <c r="K152" t="s">
        <v>1919</v>
      </c>
      <c r="L152" t="str">
        <f t="shared" si="14"/>
        <v>Regular</v>
      </c>
      <c r="M152" t="str">
        <f t="shared" si="13"/>
        <v>Spain</v>
      </c>
    </row>
    <row r="153" spans="1:13" ht="15.75" x14ac:dyDescent="0.3">
      <c r="A153" s="1" t="s">
        <v>1165</v>
      </c>
      <c r="B153" s="1" t="s">
        <v>1607</v>
      </c>
      <c r="C153">
        <v>35</v>
      </c>
      <c r="D153" s="1" t="s">
        <v>8</v>
      </c>
      <c r="E153" s="1" t="s">
        <v>189</v>
      </c>
      <c r="F153" s="13">
        <v>38629</v>
      </c>
      <c r="G153" s="13" t="str">
        <f t="shared" si="10"/>
        <v>Tuesday</v>
      </c>
      <c r="H153" s="13" t="str">
        <f t="shared" si="11"/>
        <v>October</v>
      </c>
      <c r="I153" s="6">
        <v>618.46916320055902</v>
      </c>
      <c r="J153" s="6" t="str">
        <f t="shared" si="12"/>
        <v>Recorded</v>
      </c>
      <c r="K153" t="s">
        <v>1916</v>
      </c>
      <c r="L153" t="str">
        <f t="shared" si="14"/>
        <v>Regular</v>
      </c>
      <c r="M153" t="str">
        <f t="shared" si="13"/>
        <v>Spain</v>
      </c>
    </row>
    <row r="154" spans="1:13" ht="15.75" x14ac:dyDescent="0.3">
      <c r="A154" s="1" t="s">
        <v>1166</v>
      </c>
      <c r="B154" s="1" t="s">
        <v>1608</v>
      </c>
      <c r="C154">
        <v>20</v>
      </c>
      <c r="D154" s="1" t="s">
        <v>5</v>
      </c>
      <c r="E154" s="1" t="s">
        <v>1915</v>
      </c>
      <c r="F154" s="14">
        <v>44168</v>
      </c>
      <c r="G154" s="13" t="str">
        <f t="shared" si="10"/>
        <v>Thursday</v>
      </c>
      <c r="H154" s="13" t="str">
        <f t="shared" si="11"/>
        <v>December</v>
      </c>
      <c r="I154" s="6">
        <v>9500</v>
      </c>
      <c r="J154" s="6" t="str">
        <f t="shared" si="12"/>
        <v>Recorded</v>
      </c>
      <c r="K154" t="s">
        <v>1916</v>
      </c>
      <c r="L154" t="str">
        <f t="shared" si="14"/>
        <v>Regular</v>
      </c>
      <c r="M154" t="str">
        <f t="shared" si="13"/>
        <v>South Africa</v>
      </c>
    </row>
    <row r="155" spans="1:13" ht="15.75" x14ac:dyDescent="0.3">
      <c r="A155" s="1" t="s">
        <v>1167</v>
      </c>
      <c r="B155" s="1" t="s">
        <v>1609</v>
      </c>
      <c r="C155">
        <v>20</v>
      </c>
      <c r="D155" s="1" t="s">
        <v>5</v>
      </c>
      <c r="E155" s="1" t="s">
        <v>1915</v>
      </c>
      <c r="F155" s="13">
        <v>45421</v>
      </c>
      <c r="G155" s="13" t="str">
        <f t="shared" si="10"/>
        <v>Thursday</v>
      </c>
      <c r="H155" s="13" t="str">
        <f t="shared" si="11"/>
        <v>May</v>
      </c>
      <c r="I155" s="6">
        <v>939.54715055173597</v>
      </c>
      <c r="J155" s="6" t="str">
        <f t="shared" si="12"/>
        <v>Recorded</v>
      </c>
      <c r="K155" t="s">
        <v>1919</v>
      </c>
      <c r="L155" t="str">
        <f t="shared" si="14"/>
        <v>Regular</v>
      </c>
      <c r="M155" t="str">
        <f t="shared" si="13"/>
        <v>Spain</v>
      </c>
    </row>
    <row r="156" spans="1:13" ht="15.75" x14ac:dyDescent="0.3">
      <c r="A156" s="1" t="s">
        <v>1168</v>
      </c>
      <c r="B156" s="1" t="s">
        <v>1610</v>
      </c>
      <c r="C156">
        <v>20</v>
      </c>
      <c r="D156" s="1" t="s">
        <v>8</v>
      </c>
      <c r="E156" s="1" t="s">
        <v>1915</v>
      </c>
      <c r="F156" s="13">
        <v>44758</v>
      </c>
      <c r="G156" s="13" t="str">
        <f t="shared" si="10"/>
        <v>Saturday</v>
      </c>
      <c r="H156" s="13" t="str">
        <f t="shared" si="11"/>
        <v>July</v>
      </c>
      <c r="I156" s="6">
        <v>538.64632985466994</v>
      </c>
      <c r="J156" s="6" t="str">
        <f t="shared" si="12"/>
        <v>Recorded</v>
      </c>
      <c r="K156" t="s">
        <v>1917</v>
      </c>
      <c r="L156" t="str">
        <f t="shared" si="14"/>
        <v>Regular</v>
      </c>
      <c r="M156" t="str">
        <f t="shared" si="13"/>
        <v>Lagos</v>
      </c>
    </row>
    <row r="157" spans="1:13" ht="15.75" x14ac:dyDescent="0.3">
      <c r="A157" s="1" t="s">
        <v>1169</v>
      </c>
      <c r="B157" s="1" t="s">
        <v>1611</v>
      </c>
      <c r="C157">
        <v>30</v>
      </c>
      <c r="D157" s="1" t="s">
        <v>8</v>
      </c>
      <c r="E157" s="1" t="s">
        <v>1915</v>
      </c>
      <c r="F157" s="13">
        <v>26018</v>
      </c>
      <c r="G157" s="13" t="str">
        <f t="shared" si="10"/>
        <v>Friday</v>
      </c>
      <c r="H157" s="13" t="str">
        <f t="shared" si="11"/>
        <v>March</v>
      </c>
      <c r="I157" s="6">
        <v>125.799546208362</v>
      </c>
      <c r="J157" s="6" t="str">
        <f t="shared" si="12"/>
        <v>Recorded</v>
      </c>
      <c r="K157" t="s">
        <v>1916</v>
      </c>
      <c r="L157" t="str">
        <f t="shared" si="14"/>
        <v>Regular</v>
      </c>
      <c r="M157" t="str">
        <f t="shared" si="13"/>
        <v>South Africa</v>
      </c>
    </row>
    <row r="158" spans="1:13" ht="15.75" x14ac:dyDescent="0.3">
      <c r="A158" s="1" t="s">
        <v>1170</v>
      </c>
      <c r="B158" s="1" t="s">
        <v>1612</v>
      </c>
      <c r="C158">
        <v>47</v>
      </c>
      <c r="D158" s="1" t="s">
        <v>5</v>
      </c>
      <c r="E158" s="1" t="s">
        <v>189</v>
      </c>
      <c r="F158" s="13">
        <v>45372</v>
      </c>
      <c r="G158" s="13" t="str">
        <f t="shared" si="10"/>
        <v>Thursday</v>
      </c>
      <c r="H158" s="13" t="str">
        <f t="shared" si="11"/>
        <v>March</v>
      </c>
      <c r="I158" s="6">
        <v>153.381169538802</v>
      </c>
      <c r="J158" s="6" t="str">
        <f t="shared" si="12"/>
        <v>Recorded</v>
      </c>
      <c r="K158" t="s">
        <v>1917</v>
      </c>
      <c r="L158" t="str">
        <f t="shared" si="14"/>
        <v>Regular</v>
      </c>
      <c r="M158" t="str">
        <f t="shared" si="13"/>
        <v>Lagos</v>
      </c>
    </row>
    <row r="159" spans="1:13" ht="15.75" x14ac:dyDescent="0.3">
      <c r="A159" s="1" t="s">
        <v>1171</v>
      </c>
      <c r="B159" s="1" t="s">
        <v>1613</v>
      </c>
      <c r="C159">
        <v>20</v>
      </c>
      <c r="D159" s="1" t="s">
        <v>8</v>
      </c>
      <c r="E159" s="1" t="s">
        <v>1915</v>
      </c>
      <c r="F159" s="14">
        <v>44479</v>
      </c>
      <c r="G159" s="13" t="str">
        <f t="shared" si="10"/>
        <v>Sunday</v>
      </c>
      <c r="H159" s="13" t="str">
        <f t="shared" si="11"/>
        <v>October</v>
      </c>
      <c r="I159" s="6">
        <v>9500</v>
      </c>
      <c r="J159" s="6" t="str">
        <f t="shared" si="12"/>
        <v>Recorded</v>
      </c>
      <c r="K159" t="s">
        <v>1918</v>
      </c>
      <c r="L159" t="str">
        <f t="shared" si="14"/>
        <v>Regular</v>
      </c>
      <c r="M159" t="str">
        <f t="shared" si="13"/>
        <v>India</v>
      </c>
    </row>
    <row r="160" spans="1:13" ht="15.75" x14ac:dyDescent="0.3">
      <c r="A160" s="1" t="s">
        <v>1171</v>
      </c>
      <c r="B160" s="1" t="s">
        <v>1613</v>
      </c>
      <c r="C160">
        <v>20</v>
      </c>
      <c r="D160" s="1" t="s">
        <v>8</v>
      </c>
      <c r="E160" s="1" t="s">
        <v>189</v>
      </c>
      <c r="F160" s="13">
        <v>45323</v>
      </c>
      <c r="G160" s="13" t="str">
        <f t="shared" si="10"/>
        <v>Thursday</v>
      </c>
      <c r="H160" s="13" t="str">
        <f t="shared" si="11"/>
        <v>February</v>
      </c>
      <c r="I160" s="6">
        <v>9500</v>
      </c>
      <c r="J160" s="6" t="str">
        <f t="shared" si="12"/>
        <v>Recorded</v>
      </c>
      <c r="K160" t="s">
        <v>1919</v>
      </c>
      <c r="L160" t="str">
        <f t="shared" si="14"/>
        <v>Regular</v>
      </c>
      <c r="M160" t="str">
        <f t="shared" si="13"/>
        <v>India</v>
      </c>
    </row>
    <row r="161" spans="1:13" ht="15.75" x14ac:dyDescent="0.3">
      <c r="A161" s="1" t="s">
        <v>1172</v>
      </c>
      <c r="B161" s="1" t="s">
        <v>1614</v>
      </c>
      <c r="C161">
        <v>29</v>
      </c>
      <c r="D161" s="1" t="s">
        <v>8</v>
      </c>
      <c r="E161" s="1" t="s">
        <v>1915</v>
      </c>
      <c r="F161" s="14">
        <v>43665</v>
      </c>
      <c r="G161" s="13" t="str">
        <f t="shared" si="10"/>
        <v>Friday</v>
      </c>
      <c r="H161" s="13" t="str">
        <f t="shared" si="11"/>
        <v>July</v>
      </c>
      <c r="I161" s="6">
        <v>7500</v>
      </c>
      <c r="J161" s="6" t="str">
        <f t="shared" si="12"/>
        <v>Recorded</v>
      </c>
      <c r="K161" t="s">
        <v>1919</v>
      </c>
      <c r="L161" t="str">
        <f t="shared" si="14"/>
        <v>Regular</v>
      </c>
      <c r="M161" t="str">
        <f t="shared" si="13"/>
        <v>Spain</v>
      </c>
    </row>
    <row r="162" spans="1:13" ht="15.75" x14ac:dyDescent="0.3">
      <c r="A162" s="1" t="s">
        <v>1173</v>
      </c>
      <c r="B162" s="1" t="s">
        <v>1615</v>
      </c>
      <c r="C162">
        <v>30</v>
      </c>
      <c r="D162" s="1" t="s">
        <v>5</v>
      </c>
      <c r="E162" s="1" t="s">
        <v>1915</v>
      </c>
      <c r="F162" s="14">
        <v>44428</v>
      </c>
      <c r="G162" s="13" t="str">
        <f t="shared" si="10"/>
        <v>Friday</v>
      </c>
      <c r="H162" s="13" t="str">
        <f t="shared" si="11"/>
        <v>August</v>
      </c>
      <c r="I162" s="6">
        <v>4766.3312088702296</v>
      </c>
      <c r="J162" s="6" t="str">
        <f t="shared" si="12"/>
        <v>Recorded</v>
      </c>
      <c r="K162" t="s">
        <v>1917</v>
      </c>
      <c r="L162" t="str">
        <f t="shared" si="14"/>
        <v>Regular</v>
      </c>
      <c r="M162" t="str">
        <f t="shared" si="13"/>
        <v>Lagos</v>
      </c>
    </row>
    <row r="163" spans="1:13" ht="15.75" x14ac:dyDescent="0.3">
      <c r="A163" s="1" t="s">
        <v>1174</v>
      </c>
      <c r="B163" s="1" t="s">
        <v>1616</v>
      </c>
      <c r="C163">
        <v>30</v>
      </c>
      <c r="D163" s="1" t="s">
        <v>5</v>
      </c>
      <c r="E163" s="1" t="s">
        <v>1915</v>
      </c>
      <c r="F163" s="13">
        <v>44405</v>
      </c>
      <c r="G163" s="13" t="str">
        <f t="shared" si="10"/>
        <v>Wednesday</v>
      </c>
      <c r="H163" s="13" t="str">
        <f t="shared" si="11"/>
        <v>July</v>
      </c>
      <c r="I163" s="6">
        <v>4000</v>
      </c>
      <c r="J163" s="6" t="str">
        <f t="shared" si="12"/>
        <v>Recorded</v>
      </c>
      <c r="K163" t="s">
        <v>1922</v>
      </c>
      <c r="L163" t="str">
        <f t="shared" si="14"/>
        <v>Regular</v>
      </c>
      <c r="M163" t="str">
        <f t="shared" si="13"/>
        <v>Not Provided</v>
      </c>
    </row>
    <row r="164" spans="1:13" ht="15.75" x14ac:dyDescent="0.3">
      <c r="A164" s="1" t="s">
        <v>1175</v>
      </c>
      <c r="B164" s="1" t="s">
        <v>1617</v>
      </c>
      <c r="C164">
        <v>30</v>
      </c>
      <c r="D164" s="1" t="s">
        <v>5</v>
      </c>
      <c r="E164" s="1" t="s">
        <v>189</v>
      </c>
      <c r="F164" s="13">
        <v>32785</v>
      </c>
      <c r="G164" s="13" t="str">
        <f t="shared" si="10"/>
        <v>Wednesday</v>
      </c>
      <c r="H164" s="13" t="str">
        <f t="shared" si="11"/>
        <v>October</v>
      </c>
      <c r="I164" s="6">
        <v>1500</v>
      </c>
      <c r="J164" s="6" t="str">
        <f t="shared" si="12"/>
        <v>Recorded</v>
      </c>
      <c r="K164" t="s">
        <v>1917</v>
      </c>
      <c r="L164" t="str">
        <f t="shared" si="14"/>
        <v>Regular</v>
      </c>
      <c r="M164" t="str">
        <f t="shared" si="13"/>
        <v>Lagos</v>
      </c>
    </row>
    <row r="165" spans="1:13" ht="15.75" x14ac:dyDescent="0.3">
      <c r="A165" s="1" t="s">
        <v>1176</v>
      </c>
      <c r="B165" s="1" t="s">
        <v>1618</v>
      </c>
      <c r="C165">
        <v>48</v>
      </c>
      <c r="D165" s="1" t="s">
        <v>5</v>
      </c>
      <c r="E165" s="1" t="s">
        <v>189</v>
      </c>
      <c r="F165" s="13">
        <v>45504</v>
      </c>
      <c r="G165" s="13" t="str">
        <f t="shared" si="10"/>
        <v>Wednesday</v>
      </c>
      <c r="H165" s="13" t="str">
        <f t="shared" si="11"/>
        <v>July</v>
      </c>
      <c r="I165" s="6">
        <v>1000</v>
      </c>
      <c r="J165" s="6" t="str">
        <f t="shared" si="12"/>
        <v>Recorded</v>
      </c>
      <c r="K165" t="s">
        <v>1918</v>
      </c>
      <c r="L165" t="str">
        <f t="shared" si="14"/>
        <v>Regular</v>
      </c>
      <c r="M165" t="str">
        <f t="shared" si="13"/>
        <v>India</v>
      </c>
    </row>
    <row r="166" spans="1:13" ht="15.75" x14ac:dyDescent="0.3">
      <c r="A166" s="1" t="s">
        <v>1177</v>
      </c>
      <c r="B166" s="1" t="s">
        <v>1619</v>
      </c>
      <c r="C166">
        <v>30</v>
      </c>
      <c r="D166" s="1" t="s">
        <v>8</v>
      </c>
      <c r="E166" s="1" t="s">
        <v>189</v>
      </c>
      <c r="F166" s="13">
        <v>39993</v>
      </c>
      <c r="G166" s="13" t="str">
        <f t="shared" si="10"/>
        <v>Monday</v>
      </c>
      <c r="H166" s="13" t="str">
        <f t="shared" si="11"/>
        <v>June</v>
      </c>
      <c r="I166" s="6">
        <v>371.80432355577398</v>
      </c>
      <c r="J166" s="6" t="str">
        <f t="shared" si="12"/>
        <v>Recorded</v>
      </c>
      <c r="K166" t="s">
        <v>1918</v>
      </c>
      <c r="L166" t="str">
        <f t="shared" si="14"/>
        <v>Regular</v>
      </c>
      <c r="M166" t="str">
        <f t="shared" si="13"/>
        <v>India</v>
      </c>
    </row>
    <row r="167" spans="1:13" ht="15.75" x14ac:dyDescent="0.3">
      <c r="A167" s="1" t="s">
        <v>1178</v>
      </c>
      <c r="B167" s="1" t="s">
        <v>1620</v>
      </c>
      <c r="C167">
        <v>30</v>
      </c>
      <c r="D167" s="1" t="s">
        <v>5</v>
      </c>
      <c r="E167" s="1" t="s">
        <v>189</v>
      </c>
      <c r="F167" s="13">
        <v>37991</v>
      </c>
      <c r="G167" s="13" t="str">
        <f t="shared" si="10"/>
        <v>Monday</v>
      </c>
      <c r="H167" s="13" t="str">
        <f t="shared" si="11"/>
        <v>January</v>
      </c>
      <c r="I167" s="6">
        <v>753.08604790074503</v>
      </c>
      <c r="J167" s="6" t="str">
        <f t="shared" si="12"/>
        <v>Recorded</v>
      </c>
      <c r="K167" t="s">
        <v>1916</v>
      </c>
      <c r="L167" t="str">
        <f t="shared" si="14"/>
        <v>Regular</v>
      </c>
      <c r="M167" t="str">
        <f t="shared" si="13"/>
        <v>South Africa</v>
      </c>
    </row>
    <row r="168" spans="1:13" ht="15.75" x14ac:dyDescent="0.3">
      <c r="A168" s="1" t="s">
        <v>1179</v>
      </c>
      <c r="B168" s="1" t="s">
        <v>1621</v>
      </c>
      <c r="C168">
        <v>58</v>
      </c>
      <c r="D168" s="1" t="s">
        <v>8</v>
      </c>
      <c r="E168" s="1" t="s">
        <v>189</v>
      </c>
      <c r="F168" s="13">
        <v>41404</v>
      </c>
      <c r="G168" s="13" t="str">
        <f t="shared" si="10"/>
        <v>Friday</v>
      </c>
      <c r="H168" s="13" t="str">
        <f t="shared" si="11"/>
        <v>May</v>
      </c>
      <c r="I168" s="6">
        <v>1500</v>
      </c>
      <c r="J168" s="6" t="str">
        <f t="shared" si="12"/>
        <v>Recorded</v>
      </c>
      <c r="K168" t="s">
        <v>1922</v>
      </c>
      <c r="L168" t="str">
        <f t="shared" si="14"/>
        <v>Regular</v>
      </c>
      <c r="M168" t="str">
        <f t="shared" si="13"/>
        <v>Not Provided</v>
      </c>
    </row>
    <row r="169" spans="1:13" ht="15.75" x14ac:dyDescent="0.3">
      <c r="A169" s="1" t="s">
        <v>1180</v>
      </c>
      <c r="B169" s="1" t="s">
        <v>1622</v>
      </c>
      <c r="C169">
        <v>55</v>
      </c>
      <c r="D169" s="1" t="s">
        <v>8</v>
      </c>
      <c r="E169" s="1" t="s">
        <v>189</v>
      </c>
      <c r="F169" s="13">
        <v>38539</v>
      </c>
      <c r="G169" s="13" t="str">
        <f t="shared" si="10"/>
        <v>Wednesday</v>
      </c>
      <c r="H169" s="13" t="str">
        <f t="shared" si="11"/>
        <v>July</v>
      </c>
      <c r="I169" s="6">
        <v>9500</v>
      </c>
      <c r="J169" s="6" t="str">
        <f t="shared" si="12"/>
        <v>Recorded</v>
      </c>
      <c r="K169" t="s">
        <v>1922</v>
      </c>
      <c r="L169" t="str">
        <f t="shared" si="14"/>
        <v>Regular</v>
      </c>
      <c r="M169" t="str">
        <f t="shared" si="13"/>
        <v>Not Provided</v>
      </c>
    </row>
    <row r="170" spans="1:13" ht="15.75" x14ac:dyDescent="0.3">
      <c r="A170" s="1" t="s">
        <v>1181</v>
      </c>
      <c r="B170" s="1" t="s">
        <v>1623</v>
      </c>
      <c r="C170">
        <v>20</v>
      </c>
      <c r="D170" s="1" t="s">
        <v>8</v>
      </c>
      <c r="E170" s="1" t="s">
        <v>1915</v>
      </c>
      <c r="F170" s="13">
        <v>38065</v>
      </c>
      <c r="G170" s="13" t="str">
        <f t="shared" si="10"/>
        <v>Friday</v>
      </c>
      <c r="H170" s="13" t="str">
        <f t="shared" si="11"/>
        <v>March</v>
      </c>
      <c r="I170" s="6">
        <v>5300</v>
      </c>
      <c r="J170" s="6" t="str">
        <f t="shared" si="12"/>
        <v>Recorded</v>
      </c>
      <c r="K170" t="s">
        <v>1919</v>
      </c>
      <c r="L170" t="str">
        <f t="shared" si="14"/>
        <v>Regular</v>
      </c>
      <c r="M170" t="str">
        <f t="shared" si="13"/>
        <v>Spain</v>
      </c>
    </row>
    <row r="171" spans="1:13" ht="15.75" x14ac:dyDescent="0.3">
      <c r="A171" s="1" t="s">
        <v>1182</v>
      </c>
      <c r="B171" s="1" t="s">
        <v>1624</v>
      </c>
      <c r="C171">
        <v>55</v>
      </c>
      <c r="D171" s="1" t="s">
        <v>8</v>
      </c>
      <c r="E171" s="1" t="s">
        <v>1915</v>
      </c>
      <c r="F171" s="13">
        <v>44259</v>
      </c>
      <c r="G171" s="13" t="str">
        <f t="shared" si="10"/>
        <v>Thursday</v>
      </c>
      <c r="H171" s="13" t="str">
        <f t="shared" si="11"/>
        <v>March</v>
      </c>
      <c r="I171" s="6">
        <v>8500</v>
      </c>
      <c r="J171" s="6" t="str">
        <f t="shared" si="12"/>
        <v>Recorded</v>
      </c>
      <c r="K171" t="s">
        <v>1917</v>
      </c>
      <c r="L171" t="str">
        <f t="shared" si="14"/>
        <v>Regular</v>
      </c>
      <c r="M171" t="str">
        <f t="shared" si="13"/>
        <v>Lagos</v>
      </c>
    </row>
    <row r="172" spans="1:13" ht="15.75" x14ac:dyDescent="0.3">
      <c r="A172" s="1" t="s">
        <v>1183</v>
      </c>
      <c r="B172" s="1" t="s">
        <v>1625</v>
      </c>
      <c r="C172">
        <v>30</v>
      </c>
      <c r="D172" s="1" t="s">
        <v>8</v>
      </c>
      <c r="E172" s="1" t="s">
        <v>1915</v>
      </c>
      <c r="F172" s="13">
        <v>43353</v>
      </c>
      <c r="G172" s="13" t="str">
        <f t="shared" si="10"/>
        <v>Monday</v>
      </c>
      <c r="H172" s="13" t="str">
        <f t="shared" si="11"/>
        <v>September</v>
      </c>
      <c r="I172" s="6">
        <v>1500</v>
      </c>
      <c r="J172" s="6" t="str">
        <f t="shared" si="12"/>
        <v>Recorded</v>
      </c>
      <c r="K172" t="s">
        <v>1916</v>
      </c>
      <c r="L172" t="str">
        <f t="shared" si="14"/>
        <v>Regular</v>
      </c>
      <c r="M172" t="str">
        <f t="shared" si="13"/>
        <v>South Africa</v>
      </c>
    </row>
    <row r="173" spans="1:13" ht="15.75" x14ac:dyDescent="0.3">
      <c r="A173" s="1" t="s">
        <v>1184</v>
      </c>
      <c r="B173" s="1" t="s">
        <v>1626</v>
      </c>
      <c r="C173">
        <v>30</v>
      </c>
      <c r="D173" s="1" t="s">
        <v>5</v>
      </c>
      <c r="E173" s="1" t="s">
        <v>189</v>
      </c>
      <c r="F173" s="13">
        <v>41863</v>
      </c>
      <c r="G173" s="13" t="str">
        <f t="shared" si="10"/>
        <v>Tuesday</v>
      </c>
      <c r="H173" s="13" t="str">
        <f t="shared" si="11"/>
        <v>August</v>
      </c>
      <c r="I173" s="6">
        <v>9500</v>
      </c>
      <c r="J173" s="6" t="str">
        <f t="shared" si="12"/>
        <v>Recorded</v>
      </c>
      <c r="K173" t="s">
        <v>1922</v>
      </c>
      <c r="L173" t="str">
        <f t="shared" si="14"/>
        <v>Regular</v>
      </c>
      <c r="M173" t="str">
        <f t="shared" si="13"/>
        <v>Not Provided</v>
      </c>
    </row>
    <row r="174" spans="1:13" ht="15.75" x14ac:dyDescent="0.3">
      <c r="A174" s="1" t="s">
        <v>1185</v>
      </c>
      <c r="B174" s="1" t="s">
        <v>1627</v>
      </c>
      <c r="C174">
        <v>30</v>
      </c>
      <c r="D174" s="1" t="s">
        <v>5</v>
      </c>
      <c r="E174" s="1" t="s">
        <v>1915</v>
      </c>
      <c r="F174" s="13">
        <v>39743</v>
      </c>
      <c r="G174" s="13" t="str">
        <f t="shared" si="10"/>
        <v>Wednesday</v>
      </c>
      <c r="H174" s="13" t="str">
        <f t="shared" si="11"/>
        <v>October</v>
      </c>
      <c r="I174" s="6">
        <v>787.681392120895</v>
      </c>
      <c r="J174" s="6" t="str">
        <f t="shared" si="12"/>
        <v>Recorded</v>
      </c>
      <c r="K174" t="s">
        <v>1917</v>
      </c>
      <c r="L174" t="str">
        <f t="shared" si="14"/>
        <v>Regular</v>
      </c>
      <c r="M174" t="str">
        <f t="shared" si="13"/>
        <v>Lagos</v>
      </c>
    </row>
    <row r="175" spans="1:13" ht="15.75" x14ac:dyDescent="0.3">
      <c r="A175" s="1" t="s">
        <v>1186</v>
      </c>
      <c r="B175" s="1" t="s">
        <v>1628</v>
      </c>
      <c r="C175">
        <v>30</v>
      </c>
      <c r="D175" s="1" t="s">
        <v>8</v>
      </c>
      <c r="E175" s="1" t="s">
        <v>1915</v>
      </c>
      <c r="F175" s="14">
        <v>44369</v>
      </c>
      <c r="G175" s="13" t="str">
        <f t="shared" si="10"/>
        <v>Tuesday</v>
      </c>
      <c r="H175" s="13" t="str">
        <f t="shared" si="11"/>
        <v>June</v>
      </c>
      <c r="I175" s="6">
        <v>540</v>
      </c>
      <c r="J175" s="6" t="str">
        <f t="shared" si="12"/>
        <v>Recorded</v>
      </c>
      <c r="K175" t="s">
        <v>1922</v>
      </c>
      <c r="L175" t="str">
        <f t="shared" si="14"/>
        <v>Regular</v>
      </c>
      <c r="M175" t="str">
        <f t="shared" si="13"/>
        <v>Not Provided</v>
      </c>
    </row>
    <row r="176" spans="1:13" ht="15.75" x14ac:dyDescent="0.3">
      <c r="A176" s="1" t="s">
        <v>1187</v>
      </c>
      <c r="B176" s="1" t="s">
        <v>1629</v>
      </c>
      <c r="C176">
        <v>30</v>
      </c>
      <c r="D176" s="1" t="s">
        <v>8</v>
      </c>
      <c r="E176" s="1" t="s">
        <v>189</v>
      </c>
      <c r="F176" s="13">
        <v>33502</v>
      </c>
      <c r="G176" s="13" t="str">
        <f t="shared" si="10"/>
        <v>Saturday</v>
      </c>
      <c r="H176" s="13" t="str">
        <f t="shared" si="11"/>
        <v>September</v>
      </c>
      <c r="I176" s="6">
        <v>9500</v>
      </c>
      <c r="J176" s="6" t="str">
        <f t="shared" si="12"/>
        <v>Recorded</v>
      </c>
      <c r="K176" t="s">
        <v>1922</v>
      </c>
      <c r="L176" t="str">
        <f t="shared" si="14"/>
        <v>Regular</v>
      </c>
      <c r="M176" t="str">
        <f t="shared" si="13"/>
        <v>Not Provided</v>
      </c>
    </row>
    <row r="177" spans="1:13" ht="15.75" x14ac:dyDescent="0.3">
      <c r="A177" s="1" t="s">
        <v>1188</v>
      </c>
      <c r="B177" s="1" t="s">
        <v>1630</v>
      </c>
      <c r="C177">
        <v>30</v>
      </c>
      <c r="D177" s="1" t="s">
        <v>8</v>
      </c>
      <c r="E177" s="1" t="s">
        <v>189</v>
      </c>
      <c r="F177" s="13">
        <v>40120</v>
      </c>
      <c r="G177" s="13" t="str">
        <f t="shared" si="10"/>
        <v>Tuesday</v>
      </c>
      <c r="H177" s="13" t="str">
        <f t="shared" si="11"/>
        <v>November</v>
      </c>
      <c r="I177" s="6">
        <v>2700</v>
      </c>
      <c r="J177" s="6" t="str">
        <f t="shared" si="12"/>
        <v>Recorded</v>
      </c>
      <c r="K177" t="s">
        <v>1918</v>
      </c>
      <c r="L177" t="str">
        <f t="shared" si="14"/>
        <v>Regular</v>
      </c>
      <c r="M177" t="str">
        <f t="shared" si="13"/>
        <v>India</v>
      </c>
    </row>
    <row r="178" spans="1:13" ht="15.75" x14ac:dyDescent="0.3">
      <c r="A178" s="1" t="s">
        <v>1189</v>
      </c>
      <c r="B178" s="1" t="s">
        <v>1631</v>
      </c>
      <c r="C178">
        <v>30</v>
      </c>
      <c r="D178" s="1" t="s">
        <v>5</v>
      </c>
      <c r="E178" s="1" t="s">
        <v>1915</v>
      </c>
      <c r="F178" s="14">
        <v>44316</v>
      </c>
      <c r="G178" s="13" t="str">
        <f t="shared" si="10"/>
        <v>Friday</v>
      </c>
      <c r="H178" s="13" t="str">
        <f t="shared" si="11"/>
        <v>April</v>
      </c>
      <c r="I178" s="6">
        <v>554.55985157139605</v>
      </c>
      <c r="J178" s="6" t="str">
        <f t="shared" si="12"/>
        <v>Recorded</v>
      </c>
      <c r="K178" t="s">
        <v>1918</v>
      </c>
      <c r="L178" t="str">
        <f t="shared" si="14"/>
        <v>Regular</v>
      </c>
      <c r="M178" t="str">
        <f t="shared" si="13"/>
        <v>India</v>
      </c>
    </row>
    <row r="179" spans="1:13" ht="15.75" x14ac:dyDescent="0.3">
      <c r="A179" s="1" t="s">
        <v>1190</v>
      </c>
      <c r="B179" s="1" t="s">
        <v>1632</v>
      </c>
      <c r="C179">
        <v>29</v>
      </c>
      <c r="D179" s="1" t="s">
        <v>8</v>
      </c>
      <c r="E179" s="1" t="s">
        <v>1915</v>
      </c>
      <c r="F179" s="13">
        <v>45305</v>
      </c>
      <c r="G179" s="13" t="str">
        <f t="shared" si="10"/>
        <v>Sunday</v>
      </c>
      <c r="H179" s="13" t="str">
        <f t="shared" si="11"/>
        <v>January</v>
      </c>
      <c r="I179" s="6">
        <v>9500</v>
      </c>
      <c r="J179" s="6" t="str">
        <f t="shared" si="12"/>
        <v>Recorded</v>
      </c>
      <c r="K179" t="s">
        <v>1922</v>
      </c>
      <c r="L179" t="str">
        <f t="shared" si="14"/>
        <v>Regular</v>
      </c>
      <c r="M179" t="str">
        <f t="shared" si="13"/>
        <v>Not Provided</v>
      </c>
    </row>
    <row r="180" spans="1:13" ht="15.75" x14ac:dyDescent="0.3">
      <c r="A180" s="1" t="s">
        <v>1191</v>
      </c>
      <c r="B180" s="1" t="s">
        <v>1633</v>
      </c>
      <c r="C180">
        <v>30</v>
      </c>
      <c r="D180" s="1" t="s">
        <v>5</v>
      </c>
      <c r="E180" s="1" t="s">
        <v>189</v>
      </c>
      <c r="F180" s="13">
        <v>39814</v>
      </c>
      <c r="G180" s="13" t="str">
        <f t="shared" si="10"/>
        <v>Thursday</v>
      </c>
      <c r="H180" s="13" t="str">
        <f t="shared" si="11"/>
        <v>January</v>
      </c>
      <c r="I180" s="6">
        <v>1500</v>
      </c>
      <c r="J180" s="6" t="str">
        <f t="shared" si="12"/>
        <v>Recorded</v>
      </c>
      <c r="K180" t="s">
        <v>1918</v>
      </c>
      <c r="L180" t="str">
        <f t="shared" si="14"/>
        <v>Regular</v>
      </c>
      <c r="M180" t="str">
        <f t="shared" si="13"/>
        <v>India</v>
      </c>
    </row>
    <row r="181" spans="1:13" ht="15.75" x14ac:dyDescent="0.3">
      <c r="A181" s="1" t="s">
        <v>1192</v>
      </c>
      <c r="B181" s="1" t="s">
        <v>1634</v>
      </c>
      <c r="C181">
        <v>43</v>
      </c>
      <c r="D181" s="1" t="s">
        <v>5</v>
      </c>
      <c r="E181" s="1" t="s">
        <v>189</v>
      </c>
      <c r="F181" s="13">
        <v>39378</v>
      </c>
      <c r="G181" s="13" t="str">
        <f t="shared" si="10"/>
        <v>Tuesday</v>
      </c>
      <c r="H181" s="13" t="str">
        <f t="shared" si="11"/>
        <v>October</v>
      </c>
      <c r="I181" s="6">
        <v>9500</v>
      </c>
      <c r="J181" s="6" t="str">
        <f t="shared" si="12"/>
        <v>Recorded</v>
      </c>
      <c r="K181" t="s">
        <v>1922</v>
      </c>
      <c r="L181" t="str">
        <f t="shared" si="14"/>
        <v>Regular</v>
      </c>
      <c r="M181" t="str">
        <f t="shared" si="13"/>
        <v>Not Provided</v>
      </c>
    </row>
    <row r="182" spans="1:13" ht="15.75" x14ac:dyDescent="0.3">
      <c r="A182" s="1" t="s">
        <v>1193</v>
      </c>
      <c r="B182" s="1" t="s">
        <v>1635</v>
      </c>
      <c r="C182">
        <v>20</v>
      </c>
      <c r="D182" s="1" t="s">
        <v>8</v>
      </c>
      <c r="E182" s="1" t="s">
        <v>1915</v>
      </c>
      <c r="F182" s="13">
        <v>29955</v>
      </c>
      <c r="G182" s="13" t="str">
        <f t="shared" si="10"/>
        <v>Monday</v>
      </c>
      <c r="H182" s="13" t="str">
        <f t="shared" si="11"/>
        <v>January</v>
      </c>
      <c r="I182" s="6">
        <v>5148.6223896095498</v>
      </c>
      <c r="J182" s="6" t="str">
        <f t="shared" si="12"/>
        <v>Recorded</v>
      </c>
      <c r="K182" t="s">
        <v>1918</v>
      </c>
      <c r="L182" t="str">
        <f t="shared" si="14"/>
        <v>Regular</v>
      </c>
      <c r="M182" t="str">
        <f t="shared" si="13"/>
        <v>India</v>
      </c>
    </row>
    <row r="183" spans="1:13" ht="15.75" x14ac:dyDescent="0.3">
      <c r="A183" s="1" t="s">
        <v>1194</v>
      </c>
      <c r="B183" s="1" t="s">
        <v>1636</v>
      </c>
      <c r="C183">
        <v>20</v>
      </c>
      <c r="D183" s="1" t="s">
        <v>5</v>
      </c>
      <c r="E183" s="1" t="s">
        <v>189</v>
      </c>
      <c r="F183" s="13">
        <v>45345</v>
      </c>
      <c r="G183" s="13" t="str">
        <f t="shared" si="10"/>
        <v>Friday</v>
      </c>
      <c r="H183" s="13" t="str">
        <f t="shared" si="11"/>
        <v>February</v>
      </c>
      <c r="I183" s="6">
        <v>344.20781899791899</v>
      </c>
      <c r="J183" s="6" t="str">
        <f t="shared" si="12"/>
        <v>Recorded</v>
      </c>
      <c r="K183" t="s">
        <v>1916</v>
      </c>
      <c r="L183" t="str">
        <f t="shared" si="14"/>
        <v>Regular</v>
      </c>
      <c r="M183" t="str">
        <f t="shared" si="13"/>
        <v>South Africa</v>
      </c>
    </row>
    <row r="184" spans="1:13" ht="15.75" x14ac:dyDescent="0.3">
      <c r="A184" s="1" t="s">
        <v>1195</v>
      </c>
      <c r="B184" s="1" t="s">
        <v>1637</v>
      </c>
      <c r="C184">
        <v>20</v>
      </c>
      <c r="D184" s="1" t="s">
        <v>5</v>
      </c>
      <c r="E184" s="1" t="s">
        <v>1915</v>
      </c>
      <c r="F184" s="13">
        <v>45631</v>
      </c>
      <c r="G184" s="13" t="str">
        <f t="shared" si="10"/>
        <v>Thursday</v>
      </c>
      <c r="H184" s="13" t="str">
        <f t="shared" si="11"/>
        <v>December</v>
      </c>
      <c r="I184" s="6">
        <v>9500</v>
      </c>
      <c r="J184" s="6" t="str">
        <f t="shared" si="12"/>
        <v>Recorded</v>
      </c>
      <c r="K184" t="s">
        <v>1917</v>
      </c>
      <c r="L184" t="str">
        <f t="shared" si="14"/>
        <v>Regular</v>
      </c>
      <c r="M184" t="str">
        <f t="shared" si="13"/>
        <v>Lagos</v>
      </c>
    </row>
    <row r="185" spans="1:13" ht="15.75" x14ac:dyDescent="0.3">
      <c r="A185" s="1" t="s">
        <v>1196</v>
      </c>
      <c r="B185" s="1" t="s">
        <v>1638</v>
      </c>
      <c r="C185">
        <v>30</v>
      </c>
      <c r="D185" s="1" t="s">
        <v>5</v>
      </c>
      <c r="E185" s="1" t="s">
        <v>189</v>
      </c>
      <c r="F185" s="13">
        <v>42520</v>
      </c>
      <c r="G185" s="13" t="str">
        <f t="shared" si="10"/>
        <v>Monday</v>
      </c>
      <c r="H185" s="13" t="str">
        <f t="shared" si="11"/>
        <v>May</v>
      </c>
      <c r="I185" s="6">
        <v>2711.3178299134702</v>
      </c>
      <c r="J185" s="6" t="str">
        <f t="shared" si="12"/>
        <v>Recorded</v>
      </c>
      <c r="K185" t="s">
        <v>1922</v>
      </c>
      <c r="L185" t="str">
        <f t="shared" si="14"/>
        <v>Regular</v>
      </c>
      <c r="M185" t="str">
        <f t="shared" si="13"/>
        <v>Not Provided</v>
      </c>
    </row>
    <row r="186" spans="1:13" ht="15.75" x14ac:dyDescent="0.3">
      <c r="A186" s="1" t="s">
        <v>1197</v>
      </c>
      <c r="B186" s="1" t="s">
        <v>1639</v>
      </c>
      <c r="C186">
        <v>30</v>
      </c>
      <c r="D186" s="1" t="s">
        <v>5</v>
      </c>
      <c r="E186" s="1" t="s">
        <v>189</v>
      </c>
      <c r="F186" s="13">
        <v>42513</v>
      </c>
      <c r="G186" s="13" t="str">
        <f t="shared" si="10"/>
        <v>Monday</v>
      </c>
      <c r="H186" s="13" t="str">
        <f t="shared" si="11"/>
        <v>May</v>
      </c>
      <c r="I186" s="6">
        <v>8230</v>
      </c>
      <c r="J186" s="6" t="str">
        <f t="shared" si="12"/>
        <v>Recorded</v>
      </c>
      <c r="K186" t="s">
        <v>1919</v>
      </c>
      <c r="L186" t="str">
        <f t="shared" si="14"/>
        <v>Regular</v>
      </c>
      <c r="M186" t="str">
        <f t="shared" si="13"/>
        <v>Spain</v>
      </c>
    </row>
    <row r="187" spans="1:13" ht="15.75" x14ac:dyDescent="0.3">
      <c r="A187" s="1" t="s">
        <v>1198</v>
      </c>
      <c r="B187" s="1" t="s">
        <v>1640</v>
      </c>
      <c r="C187">
        <v>20</v>
      </c>
      <c r="D187" s="1" t="s">
        <v>8</v>
      </c>
      <c r="E187" s="1" t="s">
        <v>1915</v>
      </c>
      <c r="F187" s="13">
        <v>45310</v>
      </c>
      <c r="G187" s="13" t="str">
        <f t="shared" si="10"/>
        <v>Friday</v>
      </c>
      <c r="H187" s="13" t="str">
        <f t="shared" si="11"/>
        <v>January</v>
      </c>
      <c r="I187" s="6">
        <v>775.44589490567898</v>
      </c>
      <c r="J187" s="6" t="str">
        <f t="shared" si="12"/>
        <v>Recorded</v>
      </c>
      <c r="K187" t="s">
        <v>1919</v>
      </c>
      <c r="L187" t="str">
        <f t="shared" si="14"/>
        <v>Regular</v>
      </c>
      <c r="M187" t="str">
        <f t="shared" si="13"/>
        <v>Spain</v>
      </c>
    </row>
    <row r="188" spans="1:13" ht="15.75" x14ac:dyDescent="0.3">
      <c r="A188" s="1" t="s">
        <v>1199</v>
      </c>
      <c r="B188" s="1" t="s">
        <v>1641</v>
      </c>
      <c r="C188">
        <v>20</v>
      </c>
      <c r="D188" s="1" t="s">
        <v>5</v>
      </c>
      <c r="E188" s="1" t="s">
        <v>189</v>
      </c>
      <c r="F188" s="13">
        <v>41303</v>
      </c>
      <c r="G188" s="13" t="str">
        <f t="shared" si="10"/>
        <v>Tuesday</v>
      </c>
      <c r="H188" s="13" t="str">
        <f t="shared" si="11"/>
        <v>January</v>
      </c>
      <c r="I188" s="6">
        <v>9741.8851595885608</v>
      </c>
      <c r="J188" s="6" t="str">
        <f t="shared" si="12"/>
        <v>Recorded</v>
      </c>
      <c r="K188" t="s">
        <v>1916</v>
      </c>
      <c r="L188" t="str">
        <f t="shared" si="14"/>
        <v>Regular</v>
      </c>
      <c r="M188" t="str">
        <f t="shared" si="13"/>
        <v>South Africa</v>
      </c>
    </row>
    <row r="189" spans="1:13" ht="15.75" x14ac:dyDescent="0.3">
      <c r="A189" s="1" t="s">
        <v>1200</v>
      </c>
      <c r="B189" s="1" t="s">
        <v>1642</v>
      </c>
      <c r="C189">
        <v>48</v>
      </c>
      <c r="D189" s="1" t="s">
        <v>8</v>
      </c>
      <c r="E189" s="1" t="s">
        <v>1915</v>
      </c>
      <c r="F189" s="13">
        <v>38606</v>
      </c>
      <c r="G189" s="13" t="str">
        <f t="shared" si="10"/>
        <v>Sunday</v>
      </c>
      <c r="H189" s="13" t="str">
        <f t="shared" si="11"/>
        <v>September</v>
      </c>
      <c r="I189" s="6">
        <v>1500</v>
      </c>
      <c r="J189" s="6" t="str">
        <f t="shared" si="12"/>
        <v>Recorded</v>
      </c>
      <c r="K189" t="s">
        <v>1916</v>
      </c>
      <c r="L189" t="str">
        <f t="shared" si="14"/>
        <v>Regular</v>
      </c>
      <c r="M189" t="str">
        <f t="shared" si="13"/>
        <v>South Africa</v>
      </c>
    </row>
    <row r="190" spans="1:13" ht="15.75" x14ac:dyDescent="0.3">
      <c r="A190" s="1" t="s">
        <v>1201</v>
      </c>
      <c r="B190" s="1" t="s">
        <v>1643</v>
      </c>
      <c r="C190">
        <v>54</v>
      </c>
      <c r="D190" s="1" t="s">
        <v>5</v>
      </c>
      <c r="E190" s="1" t="s">
        <v>1915</v>
      </c>
      <c r="F190" s="13">
        <v>34333</v>
      </c>
      <c r="G190" s="13" t="str">
        <f t="shared" si="10"/>
        <v>Thursday</v>
      </c>
      <c r="H190" s="13" t="str">
        <f t="shared" si="11"/>
        <v>December</v>
      </c>
      <c r="I190" s="6">
        <v>480.23697380661099</v>
      </c>
      <c r="J190" s="6" t="str">
        <f t="shared" si="12"/>
        <v>Recorded</v>
      </c>
      <c r="K190" t="s">
        <v>1919</v>
      </c>
      <c r="L190" t="str">
        <f t="shared" si="14"/>
        <v>Regular</v>
      </c>
      <c r="M190" t="str">
        <f t="shared" si="13"/>
        <v>Spain</v>
      </c>
    </row>
    <row r="191" spans="1:13" ht="15.75" x14ac:dyDescent="0.3">
      <c r="A191" s="1" t="s">
        <v>1202</v>
      </c>
      <c r="B191" s="1" t="s">
        <v>1644</v>
      </c>
      <c r="C191">
        <v>20</v>
      </c>
      <c r="D191" s="1" t="s">
        <v>8</v>
      </c>
      <c r="E191" s="1" t="s">
        <v>1915</v>
      </c>
      <c r="F191" s="14">
        <v>43448</v>
      </c>
      <c r="G191" s="13" t="str">
        <f t="shared" si="10"/>
        <v>Friday</v>
      </c>
      <c r="H191" s="13" t="str">
        <f t="shared" si="11"/>
        <v>December</v>
      </c>
      <c r="I191" s="6">
        <v>2637.4090115506601</v>
      </c>
      <c r="J191" s="6" t="str">
        <f t="shared" si="12"/>
        <v>Recorded</v>
      </c>
      <c r="K191" t="s">
        <v>1922</v>
      </c>
      <c r="L191" t="str">
        <f t="shared" si="14"/>
        <v>Regular</v>
      </c>
      <c r="M191" t="str">
        <f t="shared" si="13"/>
        <v>Not Provided</v>
      </c>
    </row>
    <row r="192" spans="1:13" ht="15.75" x14ac:dyDescent="0.3">
      <c r="A192" s="1" t="s">
        <v>1203</v>
      </c>
      <c r="B192" s="1" t="s">
        <v>1645</v>
      </c>
      <c r="C192">
        <v>20</v>
      </c>
      <c r="D192" s="1" t="s">
        <v>8</v>
      </c>
      <c r="E192" s="1" t="s">
        <v>189</v>
      </c>
      <c r="F192" s="13">
        <v>38175</v>
      </c>
      <c r="G192" s="13" t="str">
        <f t="shared" si="10"/>
        <v>Wednesday</v>
      </c>
      <c r="H192" s="13" t="str">
        <f t="shared" si="11"/>
        <v>July</v>
      </c>
      <c r="I192" s="6">
        <v>9063.5736026266095</v>
      </c>
      <c r="J192" s="6" t="str">
        <f t="shared" si="12"/>
        <v>Recorded</v>
      </c>
      <c r="K192" t="s">
        <v>1918</v>
      </c>
      <c r="L192" t="str">
        <f t="shared" si="14"/>
        <v>Regular</v>
      </c>
      <c r="M192" t="str">
        <f t="shared" si="13"/>
        <v>India</v>
      </c>
    </row>
    <row r="193" spans="1:13" ht="15.75" x14ac:dyDescent="0.3">
      <c r="A193" s="1" t="s">
        <v>1204</v>
      </c>
      <c r="B193" s="1" t="s">
        <v>1646</v>
      </c>
      <c r="C193">
        <v>20</v>
      </c>
      <c r="D193" s="1" t="s">
        <v>5</v>
      </c>
      <c r="E193" s="1" t="s">
        <v>1915</v>
      </c>
      <c r="F193" s="13">
        <v>44020</v>
      </c>
      <c r="G193" s="13" t="str">
        <f t="shared" si="10"/>
        <v>Wednesday</v>
      </c>
      <c r="H193" s="13" t="str">
        <f t="shared" si="11"/>
        <v>July</v>
      </c>
      <c r="I193" s="6">
        <v>1025.80439546911</v>
      </c>
      <c r="J193" s="6" t="str">
        <f t="shared" si="12"/>
        <v>Recorded</v>
      </c>
      <c r="K193" t="s">
        <v>1917</v>
      </c>
      <c r="L193" t="str">
        <f t="shared" si="14"/>
        <v>Regular</v>
      </c>
      <c r="M193" t="str">
        <f t="shared" si="13"/>
        <v>Lagos</v>
      </c>
    </row>
    <row r="194" spans="1:13" ht="15.75" x14ac:dyDescent="0.3">
      <c r="A194" s="1" t="s">
        <v>1205</v>
      </c>
      <c r="B194" s="1" t="s">
        <v>1647</v>
      </c>
      <c r="C194">
        <v>20</v>
      </c>
      <c r="D194" s="1" t="s">
        <v>5</v>
      </c>
      <c r="E194" s="1" t="s">
        <v>189</v>
      </c>
      <c r="F194" s="13">
        <v>45399</v>
      </c>
      <c r="G194" s="13" t="str">
        <f t="shared" si="10"/>
        <v>Wednesday</v>
      </c>
      <c r="H194" s="13" t="str">
        <f t="shared" si="11"/>
        <v>April</v>
      </c>
      <c r="I194" s="6">
        <v>1500</v>
      </c>
      <c r="J194" s="6" t="str">
        <f t="shared" si="12"/>
        <v>Recorded</v>
      </c>
      <c r="K194" t="s">
        <v>1917</v>
      </c>
      <c r="L194" t="str">
        <f t="shared" si="14"/>
        <v>Regular</v>
      </c>
      <c r="M194" t="str">
        <f t="shared" si="13"/>
        <v>Lagos</v>
      </c>
    </row>
    <row r="195" spans="1:13" ht="15.75" x14ac:dyDescent="0.3">
      <c r="A195" s="1" t="s">
        <v>1206</v>
      </c>
      <c r="B195" s="1" t="s">
        <v>1648</v>
      </c>
      <c r="C195">
        <v>30</v>
      </c>
      <c r="D195" s="1" t="s">
        <v>5</v>
      </c>
      <c r="E195" s="1" t="s">
        <v>189</v>
      </c>
      <c r="F195" s="14">
        <v>44819</v>
      </c>
      <c r="G195" s="13" t="str">
        <f t="shared" ref="G195:G258" si="15">TEXT(F195,"DDDD")</f>
        <v>Thursday</v>
      </c>
      <c r="H195" s="13" t="str">
        <f t="shared" ref="H195:H258" si="16">TEXT(F195,"MMMM")</f>
        <v>September</v>
      </c>
      <c r="I195" s="6">
        <v>7500</v>
      </c>
      <c r="J195" s="6" t="str">
        <f t="shared" ref="J195:J258" si="17">IF(LEN(TRIM(I195))=0,"Not Recorded","Recorded")</f>
        <v>Recorded</v>
      </c>
      <c r="K195" t="s">
        <v>1922</v>
      </c>
      <c r="L195" t="str">
        <f t="shared" si="14"/>
        <v>Regular</v>
      </c>
      <c r="M195" t="str">
        <f t="shared" ref="M195:M258" si="18">_xlfn.XLOOKUP(A195,A:A,K:K,"Not Provided",0)</f>
        <v>Not Provided</v>
      </c>
    </row>
    <row r="196" spans="1:13" ht="15.75" x14ac:dyDescent="0.3">
      <c r="A196" s="1" t="s">
        <v>1207</v>
      </c>
      <c r="B196" s="1" t="s">
        <v>1649</v>
      </c>
      <c r="C196">
        <v>30</v>
      </c>
      <c r="D196" s="1" t="s">
        <v>8</v>
      </c>
      <c r="E196" s="1" t="s">
        <v>1915</v>
      </c>
      <c r="F196" s="13">
        <v>33902</v>
      </c>
      <c r="G196" s="13" t="str">
        <f t="shared" si="15"/>
        <v>Sunday</v>
      </c>
      <c r="H196" s="13" t="str">
        <f t="shared" si="16"/>
        <v>October</v>
      </c>
      <c r="I196" s="6">
        <v>1500</v>
      </c>
      <c r="J196" s="6" t="str">
        <f t="shared" si="17"/>
        <v>Recorded</v>
      </c>
      <c r="K196" t="s">
        <v>1922</v>
      </c>
      <c r="L196" t="str">
        <f t="shared" ref="L196:L259" si="19">IF(I196&gt;10000,"High value","Regular")</f>
        <v>Regular</v>
      </c>
      <c r="M196" t="str">
        <f t="shared" si="18"/>
        <v>Not Provided</v>
      </c>
    </row>
    <row r="197" spans="1:13" ht="15.75" x14ac:dyDescent="0.3">
      <c r="A197" s="1" t="s">
        <v>1208</v>
      </c>
      <c r="B197" s="1" t="s">
        <v>1650</v>
      </c>
      <c r="C197">
        <v>33</v>
      </c>
      <c r="D197" s="1" t="s">
        <v>5</v>
      </c>
      <c r="E197" s="1" t="s">
        <v>189</v>
      </c>
      <c r="F197" s="14">
        <v>43599</v>
      </c>
      <c r="G197" s="13" t="str">
        <f t="shared" si="15"/>
        <v>Tuesday</v>
      </c>
      <c r="H197" s="13" t="str">
        <f t="shared" si="16"/>
        <v>May</v>
      </c>
      <c r="I197" s="6">
        <v>9500</v>
      </c>
      <c r="J197" s="6" t="str">
        <f t="shared" si="17"/>
        <v>Recorded</v>
      </c>
      <c r="K197" t="s">
        <v>1918</v>
      </c>
      <c r="L197" t="str">
        <f t="shared" si="19"/>
        <v>Regular</v>
      </c>
      <c r="M197" t="str">
        <f t="shared" si="18"/>
        <v>India</v>
      </c>
    </row>
    <row r="198" spans="1:13" ht="15.75" x14ac:dyDescent="0.3">
      <c r="A198" s="1" t="s">
        <v>1209</v>
      </c>
      <c r="B198" s="1" t="s">
        <v>1651</v>
      </c>
      <c r="C198">
        <v>20</v>
      </c>
      <c r="D198" s="1" t="s">
        <v>5</v>
      </c>
      <c r="E198" s="1" t="s">
        <v>189</v>
      </c>
      <c r="F198" s="14">
        <v>44255</v>
      </c>
      <c r="G198" s="13" t="str">
        <f t="shared" si="15"/>
        <v>Sunday</v>
      </c>
      <c r="H198" s="13" t="str">
        <f t="shared" si="16"/>
        <v>February</v>
      </c>
      <c r="I198" s="6">
        <v>8700</v>
      </c>
      <c r="J198" s="6" t="str">
        <f t="shared" si="17"/>
        <v>Recorded</v>
      </c>
      <c r="K198" t="s">
        <v>1922</v>
      </c>
      <c r="L198" t="str">
        <f t="shared" si="19"/>
        <v>Regular</v>
      </c>
      <c r="M198" t="str">
        <f t="shared" si="18"/>
        <v>Not Provided</v>
      </c>
    </row>
    <row r="199" spans="1:13" ht="15.75" x14ac:dyDescent="0.3">
      <c r="A199" s="1" t="s">
        <v>1210</v>
      </c>
      <c r="B199" s="1" t="s">
        <v>1652</v>
      </c>
      <c r="C199">
        <v>30</v>
      </c>
      <c r="D199" s="1" t="s">
        <v>5</v>
      </c>
      <c r="E199" s="1" t="s">
        <v>189</v>
      </c>
      <c r="F199" s="13">
        <v>26819</v>
      </c>
      <c r="G199" s="13" t="str">
        <f t="shared" si="15"/>
        <v>Monday</v>
      </c>
      <c r="H199" s="13" t="str">
        <f t="shared" si="16"/>
        <v>June</v>
      </c>
      <c r="I199" s="6">
        <v>74.678311268991195</v>
      </c>
      <c r="J199" s="6" t="str">
        <f t="shared" si="17"/>
        <v>Recorded</v>
      </c>
      <c r="K199" t="s">
        <v>1916</v>
      </c>
      <c r="L199" t="str">
        <f t="shared" si="19"/>
        <v>Regular</v>
      </c>
      <c r="M199" t="str">
        <f t="shared" si="18"/>
        <v>South Africa</v>
      </c>
    </row>
    <row r="200" spans="1:13" ht="15.75" x14ac:dyDescent="0.3">
      <c r="A200" s="1" t="s">
        <v>1211</v>
      </c>
      <c r="B200" s="1" t="s">
        <v>1653</v>
      </c>
      <c r="C200">
        <v>30</v>
      </c>
      <c r="D200" s="1" t="s">
        <v>8</v>
      </c>
      <c r="E200" s="1" t="s">
        <v>1915</v>
      </c>
      <c r="F200" s="13">
        <v>45519</v>
      </c>
      <c r="G200" s="13" t="str">
        <f t="shared" si="15"/>
        <v>Thursday</v>
      </c>
      <c r="H200" s="13" t="str">
        <f t="shared" si="16"/>
        <v>August</v>
      </c>
      <c r="I200" s="6">
        <v>2855.0579108358902</v>
      </c>
      <c r="J200" s="6" t="str">
        <f t="shared" si="17"/>
        <v>Recorded</v>
      </c>
      <c r="K200" t="s">
        <v>1917</v>
      </c>
      <c r="L200" t="str">
        <f t="shared" si="19"/>
        <v>Regular</v>
      </c>
      <c r="M200" t="str">
        <f t="shared" si="18"/>
        <v>Lagos</v>
      </c>
    </row>
    <row r="201" spans="1:13" ht="15.75" x14ac:dyDescent="0.3">
      <c r="A201" s="1" t="s">
        <v>1212</v>
      </c>
      <c r="B201" s="1" t="s">
        <v>1654</v>
      </c>
      <c r="C201">
        <v>30</v>
      </c>
      <c r="D201" s="1" t="s">
        <v>5</v>
      </c>
      <c r="E201" s="1" t="s">
        <v>189</v>
      </c>
      <c r="F201" s="13">
        <v>38961</v>
      </c>
      <c r="G201" s="13" t="str">
        <f t="shared" si="15"/>
        <v>Friday</v>
      </c>
      <c r="H201" s="13" t="str">
        <f t="shared" si="16"/>
        <v>September</v>
      </c>
      <c r="I201" s="6">
        <v>1500</v>
      </c>
      <c r="J201" s="6" t="str">
        <f t="shared" si="17"/>
        <v>Recorded</v>
      </c>
      <c r="K201" t="s">
        <v>1918</v>
      </c>
      <c r="L201" t="str">
        <f t="shared" si="19"/>
        <v>Regular</v>
      </c>
      <c r="M201" t="str">
        <f t="shared" si="18"/>
        <v>India</v>
      </c>
    </row>
    <row r="202" spans="1:13" ht="15.75" x14ac:dyDescent="0.3">
      <c r="A202" s="1" t="s">
        <v>1213</v>
      </c>
      <c r="B202" s="1" t="s">
        <v>1655</v>
      </c>
      <c r="C202">
        <v>30</v>
      </c>
      <c r="D202" s="1" t="s">
        <v>5</v>
      </c>
      <c r="E202" s="1" t="s">
        <v>189</v>
      </c>
      <c r="F202" s="13">
        <v>39338</v>
      </c>
      <c r="G202" s="13" t="str">
        <f t="shared" si="15"/>
        <v>Thursday</v>
      </c>
      <c r="H202" s="13" t="str">
        <f t="shared" si="16"/>
        <v>September</v>
      </c>
      <c r="I202" s="6">
        <v>4410.8742035303403</v>
      </c>
      <c r="J202" s="6" t="str">
        <f t="shared" si="17"/>
        <v>Recorded</v>
      </c>
      <c r="K202" t="s">
        <v>1919</v>
      </c>
      <c r="L202" t="str">
        <f t="shared" si="19"/>
        <v>Regular</v>
      </c>
      <c r="M202" t="str">
        <f t="shared" si="18"/>
        <v>Spain</v>
      </c>
    </row>
    <row r="203" spans="1:13" ht="15.75" x14ac:dyDescent="0.3">
      <c r="A203" s="1" t="s">
        <v>1214</v>
      </c>
      <c r="B203" s="1" t="s">
        <v>1656</v>
      </c>
      <c r="C203">
        <v>20</v>
      </c>
      <c r="D203" s="1" t="s">
        <v>5</v>
      </c>
      <c r="E203" s="1" t="s">
        <v>1915</v>
      </c>
      <c r="F203" s="13">
        <v>45414</v>
      </c>
      <c r="G203" s="13" t="str">
        <f t="shared" si="15"/>
        <v>Thursday</v>
      </c>
      <c r="H203" s="13" t="str">
        <f t="shared" si="16"/>
        <v>May</v>
      </c>
      <c r="I203" s="6">
        <v>9500</v>
      </c>
      <c r="J203" s="6" t="str">
        <f t="shared" si="17"/>
        <v>Recorded</v>
      </c>
      <c r="K203" t="s">
        <v>1919</v>
      </c>
      <c r="L203" t="str">
        <f t="shared" si="19"/>
        <v>Regular</v>
      </c>
      <c r="M203" t="str">
        <f t="shared" si="18"/>
        <v>Spain</v>
      </c>
    </row>
    <row r="204" spans="1:13" ht="15.75" x14ac:dyDescent="0.3">
      <c r="A204" s="1" t="s">
        <v>1214</v>
      </c>
      <c r="B204" s="1" t="s">
        <v>1656</v>
      </c>
      <c r="C204">
        <v>20</v>
      </c>
      <c r="D204" s="1" t="s">
        <v>5</v>
      </c>
      <c r="E204" s="1" t="s">
        <v>189</v>
      </c>
      <c r="F204" s="13">
        <v>45414</v>
      </c>
      <c r="G204" s="13" t="str">
        <f t="shared" si="15"/>
        <v>Thursday</v>
      </c>
      <c r="H204" s="13" t="str">
        <f t="shared" si="16"/>
        <v>May</v>
      </c>
      <c r="I204" s="6">
        <v>9500</v>
      </c>
      <c r="J204" s="6" t="str">
        <f t="shared" si="17"/>
        <v>Recorded</v>
      </c>
      <c r="K204" t="s">
        <v>1916</v>
      </c>
      <c r="L204" t="str">
        <f t="shared" si="19"/>
        <v>Regular</v>
      </c>
      <c r="M204" t="str">
        <f t="shared" si="18"/>
        <v>Spain</v>
      </c>
    </row>
    <row r="205" spans="1:13" ht="15.75" x14ac:dyDescent="0.3">
      <c r="A205" s="1" t="s">
        <v>1214</v>
      </c>
      <c r="B205" s="1" t="s">
        <v>1656</v>
      </c>
      <c r="C205">
        <v>30</v>
      </c>
      <c r="D205" s="1" t="s">
        <v>5</v>
      </c>
      <c r="E205" s="1" t="s">
        <v>189</v>
      </c>
      <c r="F205" s="13">
        <v>45414</v>
      </c>
      <c r="G205" s="13" t="str">
        <f t="shared" si="15"/>
        <v>Thursday</v>
      </c>
      <c r="H205" s="13" t="str">
        <f t="shared" si="16"/>
        <v>May</v>
      </c>
      <c r="I205" s="6"/>
      <c r="J205" s="6" t="str">
        <f t="shared" si="17"/>
        <v>Not Recorded</v>
      </c>
      <c r="K205" t="s">
        <v>1922</v>
      </c>
      <c r="L205" t="str">
        <f t="shared" si="19"/>
        <v>Regular</v>
      </c>
      <c r="M205" t="str">
        <f t="shared" si="18"/>
        <v>Spain</v>
      </c>
    </row>
    <row r="206" spans="1:13" ht="15.75" x14ac:dyDescent="0.3">
      <c r="A206" s="1" t="s">
        <v>1215</v>
      </c>
      <c r="B206" s="1" t="s">
        <v>1657</v>
      </c>
      <c r="C206">
        <v>20</v>
      </c>
      <c r="D206" s="1" t="s">
        <v>5</v>
      </c>
      <c r="E206" s="1" t="s">
        <v>1915</v>
      </c>
      <c r="F206" s="13">
        <v>45306</v>
      </c>
      <c r="G206" s="13" t="str">
        <f t="shared" si="15"/>
        <v>Monday</v>
      </c>
      <c r="H206" s="13" t="str">
        <f t="shared" si="16"/>
        <v>January</v>
      </c>
      <c r="I206" s="6">
        <v>44000</v>
      </c>
      <c r="J206" s="6" t="str">
        <f t="shared" si="17"/>
        <v>Recorded</v>
      </c>
      <c r="K206" t="s">
        <v>1922</v>
      </c>
      <c r="L206" t="str">
        <f t="shared" si="19"/>
        <v>High value</v>
      </c>
      <c r="M206" t="str">
        <f t="shared" si="18"/>
        <v>Not Provided</v>
      </c>
    </row>
    <row r="207" spans="1:13" ht="15.75" x14ac:dyDescent="0.3">
      <c r="A207" s="1" t="s">
        <v>1216</v>
      </c>
      <c r="B207" s="1" t="s">
        <v>1658</v>
      </c>
      <c r="C207">
        <v>30</v>
      </c>
      <c r="D207" s="1" t="s">
        <v>8</v>
      </c>
      <c r="E207" s="1" t="s">
        <v>189</v>
      </c>
      <c r="F207" s="13">
        <v>39104</v>
      </c>
      <c r="G207" s="13" t="str">
        <f t="shared" si="15"/>
        <v>Monday</v>
      </c>
      <c r="H207" s="13" t="str">
        <f t="shared" si="16"/>
        <v>January</v>
      </c>
      <c r="I207" s="6">
        <v>9500</v>
      </c>
      <c r="J207" s="6" t="str">
        <f t="shared" si="17"/>
        <v>Recorded</v>
      </c>
      <c r="K207" t="s">
        <v>1917</v>
      </c>
      <c r="L207" t="str">
        <f t="shared" si="19"/>
        <v>Regular</v>
      </c>
      <c r="M207" t="str">
        <f t="shared" si="18"/>
        <v>Lagos</v>
      </c>
    </row>
    <row r="208" spans="1:13" ht="15.75" x14ac:dyDescent="0.3">
      <c r="A208" s="1" t="s">
        <v>1217</v>
      </c>
      <c r="B208" s="1" t="s">
        <v>1659</v>
      </c>
      <c r="C208">
        <v>30</v>
      </c>
      <c r="D208" s="1" t="s">
        <v>5</v>
      </c>
      <c r="E208" s="1" t="s">
        <v>189</v>
      </c>
      <c r="F208" s="14">
        <v>43554</v>
      </c>
      <c r="G208" s="13" t="str">
        <f t="shared" si="15"/>
        <v>Saturday</v>
      </c>
      <c r="H208" s="13" t="str">
        <f t="shared" si="16"/>
        <v>March</v>
      </c>
      <c r="I208" s="6">
        <v>9500</v>
      </c>
      <c r="J208" s="6" t="str">
        <f t="shared" si="17"/>
        <v>Recorded</v>
      </c>
      <c r="K208" t="s">
        <v>1922</v>
      </c>
      <c r="L208" t="str">
        <f t="shared" si="19"/>
        <v>Regular</v>
      </c>
      <c r="M208" t="str">
        <f t="shared" si="18"/>
        <v>Not Provided</v>
      </c>
    </row>
    <row r="209" spans="1:13" ht="15.75" x14ac:dyDescent="0.3">
      <c r="A209" s="1" t="s">
        <v>1218</v>
      </c>
      <c r="B209" s="1" t="s">
        <v>1660</v>
      </c>
      <c r="C209">
        <v>37</v>
      </c>
      <c r="D209" s="1" t="s">
        <v>5</v>
      </c>
      <c r="E209" s="1" t="s">
        <v>1915</v>
      </c>
      <c r="F209" s="13">
        <v>45502</v>
      </c>
      <c r="G209" s="13" t="str">
        <f t="shared" si="15"/>
        <v>Monday</v>
      </c>
      <c r="H209" s="13" t="str">
        <f t="shared" si="16"/>
        <v>July</v>
      </c>
      <c r="I209" s="6">
        <v>750</v>
      </c>
      <c r="J209" s="6" t="str">
        <f t="shared" si="17"/>
        <v>Recorded</v>
      </c>
      <c r="K209" t="s">
        <v>1918</v>
      </c>
      <c r="L209" t="str">
        <f t="shared" si="19"/>
        <v>Regular</v>
      </c>
      <c r="M209" t="str">
        <f t="shared" si="18"/>
        <v>India</v>
      </c>
    </row>
    <row r="210" spans="1:13" ht="15.75" x14ac:dyDescent="0.3">
      <c r="A210" s="1" t="s">
        <v>1219</v>
      </c>
      <c r="B210" s="1" t="s">
        <v>1661</v>
      </c>
      <c r="C210">
        <v>64</v>
      </c>
      <c r="D210" s="1" t="s">
        <v>5</v>
      </c>
      <c r="E210" s="1" t="s">
        <v>1915</v>
      </c>
      <c r="F210" s="14">
        <v>44819</v>
      </c>
      <c r="G210" s="13" t="str">
        <f t="shared" si="15"/>
        <v>Thursday</v>
      </c>
      <c r="H210" s="13" t="str">
        <f t="shared" si="16"/>
        <v>September</v>
      </c>
      <c r="I210" s="6">
        <v>1568.60559764608</v>
      </c>
      <c r="J210" s="6" t="str">
        <f t="shared" si="17"/>
        <v>Recorded</v>
      </c>
      <c r="K210" t="s">
        <v>1918</v>
      </c>
      <c r="L210" t="str">
        <f t="shared" si="19"/>
        <v>Regular</v>
      </c>
      <c r="M210" t="str">
        <f t="shared" si="18"/>
        <v>India</v>
      </c>
    </row>
    <row r="211" spans="1:13" ht="15.75" x14ac:dyDescent="0.3">
      <c r="A211" s="1" t="s">
        <v>1220</v>
      </c>
      <c r="B211" s="1" t="s">
        <v>1662</v>
      </c>
      <c r="C211">
        <v>20</v>
      </c>
      <c r="D211" s="1" t="s">
        <v>5</v>
      </c>
      <c r="E211" s="1" t="s">
        <v>1915</v>
      </c>
      <c r="F211" s="13">
        <v>45489</v>
      </c>
      <c r="G211" s="13" t="str">
        <f t="shared" si="15"/>
        <v>Tuesday</v>
      </c>
      <c r="H211" s="13" t="str">
        <f t="shared" si="16"/>
        <v>July</v>
      </c>
      <c r="I211" s="6">
        <v>6075.4086339712203</v>
      </c>
      <c r="J211" s="6" t="str">
        <f t="shared" si="17"/>
        <v>Recorded</v>
      </c>
      <c r="K211" t="s">
        <v>1922</v>
      </c>
      <c r="L211" t="str">
        <f t="shared" si="19"/>
        <v>Regular</v>
      </c>
      <c r="M211" t="str">
        <f t="shared" si="18"/>
        <v>Not Provided</v>
      </c>
    </row>
    <row r="212" spans="1:13" ht="15.75" x14ac:dyDescent="0.3">
      <c r="A212" s="1" t="s">
        <v>1221</v>
      </c>
      <c r="B212" s="1" t="s">
        <v>1663</v>
      </c>
      <c r="C212">
        <v>24</v>
      </c>
      <c r="D212" s="1" t="s">
        <v>5</v>
      </c>
      <c r="E212" s="1" t="s">
        <v>1915</v>
      </c>
      <c r="F212" s="13">
        <v>43531</v>
      </c>
      <c r="G212" s="13" t="str">
        <f t="shared" si="15"/>
        <v>Thursday</v>
      </c>
      <c r="H212" s="13" t="str">
        <f t="shared" si="16"/>
        <v>March</v>
      </c>
      <c r="I212" s="6">
        <v>6708.7920139287598</v>
      </c>
      <c r="J212" s="6" t="str">
        <f t="shared" si="17"/>
        <v>Recorded</v>
      </c>
      <c r="K212" t="s">
        <v>1922</v>
      </c>
      <c r="L212" t="str">
        <f t="shared" si="19"/>
        <v>Regular</v>
      </c>
      <c r="M212" t="str">
        <f t="shared" si="18"/>
        <v>Not Provided</v>
      </c>
    </row>
    <row r="213" spans="1:13" ht="15.75" x14ac:dyDescent="0.3">
      <c r="A213" s="1" t="s">
        <v>1222</v>
      </c>
      <c r="B213" s="1" t="s">
        <v>1664</v>
      </c>
      <c r="C213">
        <v>34</v>
      </c>
      <c r="D213" s="1" t="s">
        <v>8</v>
      </c>
      <c r="E213" s="1" t="s">
        <v>189</v>
      </c>
      <c r="F213" s="13">
        <v>45374</v>
      </c>
      <c r="G213" s="13" t="str">
        <f t="shared" si="15"/>
        <v>Saturday</v>
      </c>
      <c r="H213" s="13" t="str">
        <f t="shared" si="16"/>
        <v>March</v>
      </c>
      <c r="I213" s="6">
        <v>1500</v>
      </c>
      <c r="J213" s="6" t="str">
        <f t="shared" si="17"/>
        <v>Recorded</v>
      </c>
      <c r="K213" t="s">
        <v>1919</v>
      </c>
      <c r="L213" t="str">
        <f t="shared" si="19"/>
        <v>Regular</v>
      </c>
      <c r="M213" t="str">
        <f t="shared" si="18"/>
        <v>Spain</v>
      </c>
    </row>
    <row r="214" spans="1:13" ht="15.75" x14ac:dyDescent="0.3">
      <c r="A214" s="1" t="s">
        <v>1223</v>
      </c>
      <c r="B214" s="1" t="s">
        <v>1665</v>
      </c>
      <c r="C214">
        <v>20</v>
      </c>
      <c r="D214" s="1" t="s">
        <v>5</v>
      </c>
      <c r="E214" s="1" t="s">
        <v>1915</v>
      </c>
      <c r="F214" s="13">
        <v>26696</v>
      </c>
      <c r="G214" s="13" t="str">
        <f t="shared" si="15"/>
        <v>Thursday</v>
      </c>
      <c r="H214" s="13" t="str">
        <f t="shared" si="16"/>
        <v>February</v>
      </c>
      <c r="I214" s="6">
        <v>15000</v>
      </c>
      <c r="J214" s="6" t="str">
        <f t="shared" si="17"/>
        <v>Recorded</v>
      </c>
      <c r="K214" t="s">
        <v>1918</v>
      </c>
      <c r="L214" t="str">
        <f t="shared" si="19"/>
        <v>High value</v>
      </c>
      <c r="M214" t="str">
        <f t="shared" si="18"/>
        <v>India</v>
      </c>
    </row>
    <row r="215" spans="1:13" ht="15.75" x14ac:dyDescent="0.3">
      <c r="A215" s="1" t="s">
        <v>1224</v>
      </c>
      <c r="B215" s="1" t="s">
        <v>1666</v>
      </c>
      <c r="C215">
        <v>43</v>
      </c>
      <c r="D215" s="1" t="s">
        <v>8</v>
      </c>
      <c r="E215" s="1" t="s">
        <v>189</v>
      </c>
      <c r="F215" s="13">
        <v>40803</v>
      </c>
      <c r="G215" s="13" t="str">
        <f t="shared" si="15"/>
        <v>Saturday</v>
      </c>
      <c r="H215" s="13" t="str">
        <f t="shared" si="16"/>
        <v>September</v>
      </c>
      <c r="I215" s="6">
        <v>6318.79431730546</v>
      </c>
      <c r="J215" s="6" t="str">
        <f t="shared" si="17"/>
        <v>Recorded</v>
      </c>
      <c r="K215" t="s">
        <v>1922</v>
      </c>
      <c r="L215" t="str">
        <f t="shared" si="19"/>
        <v>Regular</v>
      </c>
      <c r="M215" t="str">
        <f t="shared" si="18"/>
        <v>Not Provided</v>
      </c>
    </row>
    <row r="216" spans="1:13" ht="15.75" x14ac:dyDescent="0.3">
      <c r="A216" s="1" t="s">
        <v>1225</v>
      </c>
      <c r="B216" s="1" t="s">
        <v>1667</v>
      </c>
      <c r="C216">
        <v>20</v>
      </c>
      <c r="D216" s="1" t="s">
        <v>5</v>
      </c>
      <c r="E216" s="1" t="s">
        <v>1915</v>
      </c>
      <c r="F216" s="13">
        <v>45501</v>
      </c>
      <c r="G216" s="13" t="str">
        <f t="shared" si="15"/>
        <v>Sunday</v>
      </c>
      <c r="H216" s="13" t="str">
        <f t="shared" si="16"/>
        <v>July</v>
      </c>
      <c r="I216" s="6">
        <v>7600</v>
      </c>
      <c r="J216" s="6" t="str">
        <f t="shared" si="17"/>
        <v>Recorded</v>
      </c>
      <c r="K216" t="s">
        <v>1916</v>
      </c>
      <c r="L216" t="str">
        <f t="shared" si="19"/>
        <v>Regular</v>
      </c>
      <c r="M216" t="str">
        <f t="shared" si="18"/>
        <v>South Africa</v>
      </c>
    </row>
    <row r="217" spans="1:13" ht="15.75" x14ac:dyDescent="0.3">
      <c r="A217" s="1" t="s">
        <v>1226</v>
      </c>
      <c r="B217" s="1" t="s">
        <v>1668</v>
      </c>
      <c r="C217">
        <v>66</v>
      </c>
      <c r="D217" s="1" t="s">
        <v>5</v>
      </c>
      <c r="E217" s="1" t="s">
        <v>189</v>
      </c>
      <c r="F217" s="13">
        <v>38026</v>
      </c>
      <c r="G217" s="13" t="str">
        <f t="shared" si="15"/>
        <v>Monday</v>
      </c>
      <c r="H217" s="13" t="str">
        <f t="shared" si="16"/>
        <v>February</v>
      </c>
      <c r="I217" s="6">
        <v>7500</v>
      </c>
      <c r="J217" s="6" t="str">
        <f t="shared" si="17"/>
        <v>Recorded</v>
      </c>
      <c r="K217" t="s">
        <v>1922</v>
      </c>
      <c r="L217" t="str">
        <f t="shared" si="19"/>
        <v>Regular</v>
      </c>
      <c r="M217" t="str">
        <f t="shared" si="18"/>
        <v>Not Provided</v>
      </c>
    </row>
    <row r="218" spans="1:13" ht="15.75" x14ac:dyDescent="0.3">
      <c r="A218" s="1" t="s">
        <v>1227</v>
      </c>
      <c r="B218" s="1" t="s">
        <v>1669</v>
      </c>
      <c r="C218">
        <v>22</v>
      </c>
      <c r="D218" s="1" t="s">
        <v>5</v>
      </c>
      <c r="E218" s="1" t="s">
        <v>1915</v>
      </c>
      <c r="F218" s="13">
        <v>41552</v>
      </c>
      <c r="G218" s="13" t="str">
        <f t="shared" si="15"/>
        <v>Saturday</v>
      </c>
      <c r="H218" s="13" t="str">
        <f t="shared" si="16"/>
        <v>October</v>
      </c>
      <c r="I218" s="6">
        <v>9500</v>
      </c>
      <c r="J218" s="6" t="str">
        <f t="shared" si="17"/>
        <v>Recorded</v>
      </c>
      <c r="K218" t="s">
        <v>1922</v>
      </c>
      <c r="L218" t="str">
        <f t="shared" si="19"/>
        <v>Regular</v>
      </c>
      <c r="M218" t="str">
        <f t="shared" si="18"/>
        <v>Not Provided</v>
      </c>
    </row>
    <row r="219" spans="1:13" ht="15.75" x14ac:dyDescent="0.3">
      <c r="A219" s="1" t="s">
        <v>1228</v>
      </c>
      <c r="B219" s="1" t="s">
        <v>1670</v>
      </c>
      <c r="C219">
        <v>64</v>
      </c>
      <c r="D219" s="1" t="s">
        <v>5</v>
      </c>
      <c r="E219" s="1" t="s">
        <v>189</v>
      </c>
      <c r="F219" s="13">
        <v>36725</v>
      </c>
      <c r="G219" s="13" t="str">
        <f t="shared" si="15"/>
        <v>Tuesday</v>
      </c>
      <c r="H219" s="13" t="str">
        <f t="shared" si="16"/>
        <v>July</v>
      </c>
      <c r="I219" s="6">
        <v>392.04033943938202</v>
      </c>
      <c r="J219" s="6" t="str">
        <f t="shared" si="17"/>
        <v>Recorded</v>
      </c>
      <c r="K219" t="s">
        <v>1919</v>
      </c>
      <c r="L219" t="str">
        <f t="shared" si="19"/>
        <v>Regular</v>
      </c>
      <c r="M219" t="str">
        <f t="shared" si="18"/>
        <v>Spain</v>
      </c>
    </row>
    <row r="220" spans="1:13" ht="15.75" x14ac:dyDescent="0.3">
      <c r="A220" s="1" t="s">
        <v>1229</v>
      </c>
      <c r="B220" s="1" t="s">
        <v>1671</v>
      </c>
      <c r="C220">
        <v>20</v>
      </c>
      <c r="D220" s="1" t="s">
        <v>5</v>
      </c>
      <c r="E220" s="1" t="s">
        <v>1915</v>
      </c>
      <c r="F220" s="13">
        <v>35974</v>
      </c>
      <c r="G220" s="13" t="str">
        <f t="shared" si="15"/>
        <v>Sunday</v>
      </c>
      <c r="H220" s="13" t="str">
        <f t="shared" si="16"/>
        <v>June</v>
      </c>
      <c r="I220" s="6">
        <v>700</v>
      </c>
      <c r="J220" s="6" t="str">
        <f t="shared" si="17"/>
        <v>Recorded</v>
      </c>
      <c r="K220" t="s">
        <v>1919</v>
      </c>
      <c r="L220" t="str">
        <f t="shared" si="19"/>
        <v>Regular</v>
      </c>
      <c r="M220" t="str">
        <f t="shared" si="18"/>
        <v>Spain</v>
      </c>
    </row>
    <row r="221" spans="1:13" ht="15.75" x14ac:dyDescent="0.3">
      <c r="A221" s="1" t="s">
        <v>1230</v>
      </c>
      <c r="B221" s="1" t="s">
        <v>1672</v>
      </c>
      <c r="C221">
        <v>55</v>
      </c>
      <c r="D221" s="1" t="s">
        <v>5</v>
      </c>
      <c r="E221" s="1" t="s">
        <v>189</v>
      </c>
      <c r="F221" s="13">
        <v>37803</v>
      </c>
      <c r="G221" s="13" t="str">
        <f t="shared" si="15"/>
        <v>Tuesday</v>
      </c>
      <c r="H221" s="13" t="str">
        <f t="shared" si="16"/>
        <v>July</v>
      </c>
      <c r="I221" s="6">
        <v>525.484036012773</v>
      </c>
      <c r="J221" s="6" t="str">
        <f t="shared" si="17"/>
        <v>Recorded</v>
      </c>
      <c r="K221" t="s">
        <v>1919</v>
      </c>
      <c r="L221" t="str">
        <f t="shared" si="19"/>
        <v>Regular</v>
      </c>
      <c r="M221" t="str">
        <f t="shared" si="18"/>
        <v>Spain</v>
      </c>
    </row>
    <row r="222" spans="1:13" ht="15.75" x14ac:dyDescent="0.3">
      <c r="A222" s="1" t="s">
        <v>1231</v>
      </c>
      <c r="B222" s="1" t="s">
        <v>1673</v>
      </c>
      <c r="C222">
        <v>30</v>
      </c>
      <c r="D222" s="1" t="s">
        <v>70</v>
      </c>
      <c r="E222" s="1" t="s">
        <v>1915</v>
      </c>
      <c r="F222" s="13">
        <v>43250</v>
      </c>
      <c r="G222" s="13" t="str">
        <f t="shared" si="15"/>
        <v>Wednesday</v>
      </c>
      <c r="H222" s="13" t="str">
        <f t="shared" si="16"/>
        <v>May</v>
      </c>
      <c r="I222" s="6">
        <v>8469.1889982048706</v>
      </c>
      <c r="J222" s="6" t="str">
        <f t="shared" si="17"/>
        <v>Recorded</v>
      </c>
      <c r="K222" t="s">
        <v>1916</v>
      </c>
      <c r="L222" t="str">
        <f t="shared" si="19"/>
        <v>Regular</v>
      </c>
      <c r="M222" t="str">
        <f t="shared" si="18"/>
        <v>South Africa</v>
      </c>
    </row>
    <row r="223" spans="1:13" ht="15.75" x14ac:dyDescent="0.3">
      <c r="A223" s="1" t="s">
        <v>1232</v>
      </c>
      <c r="B223" s="1" t="s">
        <v>1674</v>
      </c>
      <c r="C223">
        <v>20</v>
      </c>
      <c r="D223" s="1" t="s">
        <v>5</v>
      </c>
      <c r="E223" s="1" t="s">
        <v>189</v>
      </c>
      <c r="F223" s="14">
        <v>44255</v>
      </c>
      <c r="G223" s="13" t="str">
        <f t="shared" si="15"/>
        <v>Sunday</v>
      </c>
      <c r="H223" s="13" t="str">
        <f t="shared" si="16"/>
        <v>February</v>
      </c>
      <c r="I223" s="6">
        <v>474.41659405202802</v>
      </c>
      <c r="J223" s="6" t="str">
        <f t="shared" si="17"/>
        <v>Recorded</v>
      </c>
      <c r="K223" t="s">
        <v>1917</v>
      </c>
      <c r="L223" t="str">
        <f t="shared" si="19"/>
        <v>Regular</v>
      </c>
      <c r="M223" t="str">
        <f t="shared" si="18"/>
        <v>Lagos</v>
      </c>
    </row>
    <row r="224" spans="1:13" ht="15.75" x14ac:dyDescent="0.3">
      <c r="A224" s="1" t="s">
        <v>1233</v>
      </c>
      <c r="B224" s="1" t="s">
        <v>1675</v>
      </c>
      <c r="C224">
        <v>30</v>
      </c>
      <c r="D224" s="1" t="s">
        <v>5</v>
      </c>
      <c r="E224" s="1" t="s">
        <v>1915</v>
      </c>
      <c r="F224" s="13">
        <v>40518</v>
      </c>
      <c r="G224" s="13" t="str">
        <f t="shared" si="15"/>
        <v>Monday</v>
      </c>
      <c r="H224" s="13" t="str">
        <f t="shared" si="16"/>
        <v>December</v>
      </c>
      <c r="I224" s="6">
        <v>704.224078713214</v>
      </c>
      <c r="J224" s="6" t="str">
        <f t="shared" si="17"/>
        <v>Recorded</v>
      </c>
      <c r="K224" t="s">
        <v>1922</v>
      </c>
      <c r="L224" t="str">
        <f t="shared" si="19"/>
        <v>Regular</v>
      </c>
      <c r="M224" t="str">
        <f t="shared" si="18"/>
        <v>Not Provided</v>
      </c>
    </row>
    <row r="225" spans="1:13" ht="15.75" x14ac:dyDescent="0.3">
      <c r="A225" s="1" t="s">
        <v>1234</v>
      </c>
      <c r="B225" s="1" t="s">
        <v>1676</v>
      </c>
      <c r="C225">
        <v>41</v>
      </c>
      <c r="D225" s="1" t="s">
        <v>8</v>
      </c>
      <c r="E225" s="1" t="s">
        <v>1915</v>
      </c>
      <c r="F225" s="13">
        <v>42293</v>
      </c>
      <c r="G225" s="13" t="str">
        <f t="shared" si="15"/>
        <v>Friday</v>
      </c>
      <c r="H225" s="13" t="str">
        <f t="shared" si="16"/>
        <v>October</v>
      </c>
      <c r="I225" s="6">
        <v>1500</v>
      </c>
      <c r="J225" s="6" t="str">
        <f t="shared" si="17"/>
        <v>Recorded</v>
      </c>
      <c r="K225" t="s">
        <v>1916</v>
      </c>
      <c r="L225" t="str">
        <f t="shared" si="19"/>
        <v>Regular</v>
      </c>
      <c r="M225" t="str">
        <f t="shared" si="18"/>
        <v>South Africa</v>
      </c>
    </row>
    <row r="226" spans="1:13" ht="15.75" x14ac:dyDescent="0.3">
      <c r="A226" s="1" t="s">
        <v>1235</v>
      </c>
      <c r="B226" s="1" t="s">
        <v>1677</v>
      </c>
      <c r="C226">
        <v>19</v>
      </c>
      <c r="D226" s="1" t="s">
        <v>8</v>
      </c>
      <c r="E226" s="1" t="s">
        <v>189</v>
      </c>
      <c r="F226" s="14">
        <v>43554</v>
      </c>
      <c r="G226" s="13" t="str">
        <f t="shared" si="15"/>
        <v>Saturday</v>
      </c>
      <c r="H226" s="13" t="str">
        <f t="shared" si="16"/>
        <v>March</v>
      </c>
      <c r="I226" s="6">
        <v>1500</v>
      </c>
      <c r="J226" s="6" t="str">
        <f t="shared" si="17"/>
        <v>Recorded</v>
      </c>
      <c r="K226" t="s">
        <v>1919</v>
      </c>
      <c r="L226" t="str">
        <f t="shared" si="19"/>
        <v>Regular</v>
      </c>
      <c r="M226" t="str">
        <f t="shared" si="18"/>
        <v>Spain</v>
      </c>
    </row>
    <row r="227" spans="1:13" ht="15.75" x14ac:dyDescent="0.3">
      <c r="A227" s="1" t="s">
        <v>1236</v>
      </c>
      <c r="B227" s="1" t="s">
        <v>1678</v>
      </c>
      <c r="C227">
        <v>30</v>
      </c>
      <c r="D227" s="1" t="s">
        <v>5</v>
      </c>
      <c r="E227" s="1" t="s">
        <v>1915</v>
      </c>
      <c r="F227" s="13">
        <v>45332</v>
      </c>
      <c r="G227" s="13" t="str">
        <f t="shared" si="15"/>
        <v>Saturday</v>
      </c>
      <c r="H227" s="13" t="str">
        <f t="shared" si="16"/>
        <v>February</v>
      </c>
      <c r="I227" s="6">
        <v>788.64829000980899</v>
      </c>
      <c r="J227" s="6" t="str">
        <f t="shared" si="17"/>
        <v>Recorded</v>
      </c>
      <c r="K227" t="s">
        <v>1919</v>
      </c>
      <c r="L227" t="str">
        <f t="shared" si="19"/>
        <v>Regular</v>
      </c>
      <c r="M227" t="str">
        <f t="shared" si="18"/>
        <v>Spain</v>
      </c>
    </row>
    <row r="228" spans="1:13" ht="15.75" x14ac:dyDescent="0.3">
      <c r="A228" s="1" t="s">
        <v>1237</v>
      </c>
      <c r="B228" s="1" t="s">
        <v>1679</v>
      </c>
      <c r="C228">
        <v>30</v>
      </c>
      <c r="D228" s="1" t="s">
        <v>5</v>
      </c>
      <c r="E228" s="1" t="s">
        <v>189</v>
      </c>
      <c r="F228" s="14">
        <v>43448</v>
      </c>
      <c r="G228" s="13" t="str">
        <f t="shared" si="15"/>
        <v>Friday</v>
      </c>
      <c r="H228" s="13" t="str">
        <f t="shared" si="16"/>
        <v>December</v>
      </c>
      <c r="I228" s="6">
        <v>5239.2522577125101</v>
      </c>
      <c r="J228" s="6" t="str">
        <f t="shared" si="17"/>
        <v>Recorded</v>
      </c>
      <c r="K228" t="s">
        <v>1916</v>
      </c>
      <c r="L228" t="str">
        <f t="shared" si="19"/>
        <v>Regular</v>
      </c>
      <c r="M228" t="str">
        <f t="shared" si="18"/>
        <v>South Africa</v>
      </c>
    </row>
    <row r="229" spans="1:13" ht="15.75" x14ac:dyDescent="0.3">
      <c r="A229" s="1" t="s">
        <v>1238</v>
      </c>
      <c r="B229" s="1" t="s">
        <v>1680</v>
      </c>
      <c r="C229">
        <v>30</v>
      </c>
      <c r="D229" s="1" t="s">
        <v>8</v>
      </c>
      <c r="E229" s="1" t="s">
        <v>189</v>
      </c>
      <c r="F229" s="13">
        <v>43915</v>
      </c>
      <c r="G229" s="13" t="str">
        <f t="shared" si="15"/>
        <v>Wednesday</v>
      </c>
      <c r="H229" s="13" t="str">
        <f t="shared" si="16"/>
        <v>March</v>
      </c>
      <c r="I229" s="6">
        <v>9500</v>
      </c>
      <c r="J229" s="6" t="str">
        <f t="shared" si="17"/>
        <v>Recorded</v>
      </c>
      <c r="K229" t="s">
        <v>1922</v>
      </c>
      <c r="L229" t="str">
        <f t="shared" si="19"/>
        <v>Regular</v>
      </c>
      <c r="M229" t="str">
        <f t="shared" si="18"/>
        <v>Not Provided</v>
      </c>
    </row>
    <row r="230" spans="1:13" ht="15.75" x14ac:dyDescent="0.3">
      <c r="A230" s="1" t="s">
        <v>1239</v>
      </c>
      <c r="B230" s="1" t="s">
        <v>1681</v>
      </c>
      <c r="C230">
        <v>20</v>
      </c>
      <c r="D230" s="1" t="s">
        <v>5</v>
      </c>
      <c r="E230" s="1" t="s">
        <v>1915</v>
      </c>
      <c r="F230" s="13">
        <v>36974</v>
      </c>
      <c r="G230" s="13" t="str">
        <f t="shared" si="15"/>
        <v>Saturday</v>
      </c>
      <c r="H230" s="13" t="str">
        <f t="shared" si="16"/>
        <v>March</v>
      </c>
      <c r="I230" s="6">
        <v>18000</v>
      </c>
      <c r="J230" s="6" t="str">
        <f t="shared" si="17"/>
        <v>Recorded</v>
      </c>
      <c r="K230" t="s">
        <v>1916</v>
      </c>
      <c r="L230" t="str">
        <f t="shared" si="19"/>
        <v>High value</v>
      </c>
      <c r="M230" t="str">
        <f t="shared" si="18"/>
        <v>South Africa</v>
      </c>
    </row>
    <row r="231" spans="1:13" ht="15.75" x14ac:dyDescent="0.3">
      <c r="A231" s="1" t="s">
        <v>1240</v>
      </c>
      <c r="B231" s="1" t="s">
        <v>1682</v>
      </c>
      <c r="C231">
        <v>20</v>
      </c>
      <c r="D231" s="1" t="s">
        <v>8</v>
      </c>
      <c r="E231" s="1" t="s">
        <v>189</v>
      </c>
      <c r="F231" s="13">
        <v>38558</v>
      </c>
      <c r="G231" s="13" t="str">
        <f t="shared" si="15"/>
        <v>Monday</v>
      </c>
      <c r="H231" s="13" t="str">
        <f t="shared" si="16"/>
        <v>July</v>
      </c>
      <c r="I231" s="6">
        <v>745.978642305829</v>
      </c>
      <c r="J231" s="6" t="str">
        <f t="shared" si="17"/>
        <v>Recorded</v>
      </c>
      <c r="K231" t="s">
        <v>1918</v>
      </c>
      <c r="L231" t="str">
        <f t="shared" si="19"/>
        <v>Regular</v>
      </c>
      <c r="M231" t="str">
        <f t="shared" si="18"/>
        <v>India</v>
      </c>
    </row>
    <row r="232" spans="1:13" ht="15.75" x14ac:dyDescent="0.3">
      <c r="A232" s="1" t="s">
        <v>1241</v>
      </c>
      <c r="B232" s="1" t="s">
        <v>1683</v>
      </c>
      <c r="C232">
        <v>30</v>
      </c>
      <c r="D232" s="1" t="s">
        <v>8</v>
      </c>
      <c r="E232" s="1" t="s">
        <v>1915</v>
      </c>
      <c r="F232" s="14">
        <v>44211</v>
      </c>
      <c r="G232" s="13" t="str">
        <f t="shared" si="15"/>
        <v>Friday</v>
      </c>
      <c r="H232" s="13" t="str">
        <f t="shared" si="16"/>
        <v>January</v>
      </c>
      <c r="I232" s="6">
        <v>1382.2721408191301</v>
      </c>
      <c r="J232" s="6" t="str">
        <f t="shared" si="17"/>
        <v>Recorded</v>
      </c>
      <c r="K232" t="s">
        <v>1918</v>
      </c>
      <c r="L232" t="str">
        <f t="shared" si="19"/>
        <v>Regular</v>
      </c>
      <c r="M232" t="str">
        <f t="shared" si="18"/>
        <v>India</v>
      </c>
    </row>
    <row r="233" spans="1:13" ht="15.75" x14ac:dyDescent="0.3">
      <c r="A233" s="1" t="s">
        <v>1242</v>
      </c>
      <c r="B233" s="1" t="s">
        <v>1684</v>
      </c>
      <c r="C233">
        <v>30</v>
      </c>
      <c r="D233" s="1" t="s">
        <v>5</v>
      </c>
      <c r="E233" s="1" t="s">
        <v>189</v>
      </c>
      <c r="F233" s="13">
        <v>41814</v>
      </c>
      <c r="G233" s="13" t="str">
        <f t="shared" si="15"/>
        <v>Tuesday</v>
      </c>
      <c r="H233" s="13" t="str">
        <f t="shared" si="16"/>
        <v>June</v>
      </c>
      <c r="I233" s="6">
        <v>9929.4319131085595</v>
      </c>
      <c r="J233" s="6" t="str">
        <f t="shared" si="17"/>
        <v>Recorded</v>
      </c>
      <c r="K233" t="s">
        <v>1918</v>
      </c>
      <c r="L233" t="str">
        <f t="shared" si="19"/>
        <v>Regular</v>
      </c>
      <c r="M233" t="str">
        <f t="shared" si="18"/>
        <v>India</v>
      </c>
    </row>
    <row r="234" spans="1:13" ht="15.75" x14ac:dyDescent="0.3">
      <c r="A234" s="1" t="s">
        <v>1243</v>
      </c>
      <c r="B234" s="1" t="s">
        <v>1685</v>
      </c>
      <c r="C234">
        <v>51</v>
      </c>
      <c r="D234" s="1" t="s">
        <v>5</v>
      </c>
      <c r="E234" s="1" t="s">
        <v>1915</v>
      </c>
      <c r="F234" s="13">
        <v>45461</v>
      </c>
      <c r="G234" s="13" t="str">
        <f t="shared" si="15"/>
        <v>Tuesday</v>
      </c>
      <c r="H234" s="13" t="str">
        <f t="shared" si="16"/>
        <v>June</v>
      </c>
      <c r="I234" s="6">
        <v>1500</v>
      </c>
      <c r="J234" s="6" t="str">
        <f t="shared" si="17"/>
        <v>Recorded</v>
      </c>
      <c r="K234" t="s">
        <v>1919</v>
      </c>
      <c r="L234" t="str">
        <f t="shared" si="19"/>
        <v>Regular</v>
      </c>
      <c r="M234" t="str">
        <f t="shared" si="18"/>
        <v>Spain</v>
      </c>
    </row>
    <row r="235" spans="1:13" ht="15.75" x14ac:dyDescent="0.3">
      <c r="A235" s="1" t="s">
        <v>1244</v>
      </c>
      <c r="B235" s="1" t="s">
        <v>1686</v>
      </c>
      <c r="C235">
        <v>20</v>
      </c>
      <c r="D235" s="1" t="s">
        <v>8</v>
      </c>
      <c r="E235" s="1" t="s">
        <v>189</v>
      </c>
      <c r="F235" s="13">
        <v>36752</v>
      </c>
      <c r="G235" s="13" t="str">
        <f t="shared" si="15"/>
        <v>Monday</v>
      </c>
      <c r="H235" s="13" t="str">
        <f t="shared" si="16"/>
        <v>August</v>
      </c>
      <c r="I235" s="6">
        <v>8758.8392130253997</v>
      </c>
      <c r="J235" s="6" t="str">
        <f t="shared" si="17"/>
        <v>Recorded</v>
      </c>
      <c r="K235" t="s">
        <v>1919</v>
      </c>
      <c r="L235" t="str">
        <f t="shared" si="19"/>
        <v>Regular</v>
      </c>
      <c r="M235" t="str">
        <f t="shared" si="18"/>
        <v>Spain</v>
      </c>
    </row>
    <row r="236" spans="1:13" ht="15.75" x14ac:dyDescent="0.3">
      <c r="A236" s="1" t="s">
        <v>1245</v>
      </c>
      <c r="B236" s="1" t="s">
        <v>1687</v>
      </c>
      <c r="C236">
        <v>20</v>
      </c>
      <c r="D236" s="1" t="s">
        <v>5</v>
      </c>
      <c r="E236" s="1" t="s">
        <v>1915</v>
      </c>
      <c r="F236" s="14">
        <v>43665</v>
      </c>
      <c r="G236" s="13" t="str">
        <f t="shared" si="15"/>
        <v>Friday</v>
      </c>
      <c r="H236" s="13" t="str">
        <f t="shared" si="16"/>
        <v>July</v>
      </c>
      <c r="I236" s="6">
        <v>695.11221893532002</v>
      </c>
      <c r="J236" s="6" t="str">
        <f t="shared" si="17"/>
        <v>Recorded</v>
      </c>
      <c r="K236" t="s">
        <v>1922</v>
      </c>
      <c r="L236" t="str">
        <f t="shared" si="19"/>
        <v>Regular</v>
      </c>
      <c r="M236" t="str">
        <f t="shared" si="18"/>
        <v>Not Provided</v>
      </c>
    </row>
    <row r="237" spans="1:13" ht="15.75" x14ac:dyDescent="0.3">
      <c r="A237" s="1" t="s">
        <v>1246</v>
      </c>
      <c r="B237" s="1" t="s">
        <v>1688</v>
      </c>
      <c r="C237">
        <v>20</v>
      </c>
      <c r="D237" s="1" t="s">
        <v>5</v>
      </c>
      <c r="E237" s="1" t="s">
        <v>189</v>
      </c>
      <c r="F237" s="13">
        <v>45305</v>
      </c>
      <c r="G237" s="13" t="str">
        <f t="shared" si="15"/>
        <v>Sunday</v>
      </c>
      <c r="H237" s="13" t="str">
        <f t="shared" si="16"/>
        <v>January</v>
      </c>
      <c r="I237" s="6">
        <v>9500</v>
      </c>
      <c r="J237" s="6" t="str">
        <f t="shared" si="17"/>
        <v>Recorded</v>
      </c>
      <c r="K237" t="s">
        <v>1917</v>
      </c>
      <c r="L237" t="str">
        <f t="shared" si="19"/>
        <v>Regular</v>
      </c>
      <c r="M237" t="str">
        <f t="shared" si="18"/>
        <v>Lagos</v>
      </c>
    </row>
    <row r="238" spans="1:13" ht="15.75" x14ac:dyDescent="0.3">
      <c r="A238" s="1" t="s">
        <v>1247</v>
      </c>
      <c r="B238" s="1" t="s">
        <v>1689</v>
      </c>
      <c r="C238">
        <v>20</v>
      </c>
      <c r="D238" s="1" t="s">
        <v>8</v>
      </c>
      <c r="E238" s="1" t="s">
        <v>189</v>
      </c>
      <c r="F238" s="13">
        <v>44138</v>
      </c>
      <c r="G238" s="13" t="str">
        <f t="shared" si="15"/>
        <v>Tuesday</v>
      </c>
      <c r="H238" s="13" t="str">
        <f t="shared" si="16"/>
        <v>November</v>
      </c>
      <c r="I238" s="6"/>
      <c r="J238" s="6" t="str">
        <f t="shared" si="17"/>
        <v>Not Recorded</v>
      </c>
      <c r="K238" t="s">
        <v>1917</v>
      </c>
      <c r="L238" t="str">
        <f t="shared" si="19"/>
        <v>Regular</v>
      </c>
      <c r="M238" t="str">
        <f t="shared" si="18"/>
        <v>Lagos</v>
      </c>
    </row>
    <row r="239" spans="1:13" ht="15.75" x14ac:dyDescent="0.3">
      <c r="A239" s="1" t="s">
        <v>1248</v>
      </c>
      <c r="B239" s="1" t="s">
        <v>1690</v>
      </c>
      <c r="C239">
        <v>30</v>
      </c>
      <c r="D239" s="1" t="s">
        <v>5</v>
      </c>
      <c r="E239" s="1" t="s">
        <v>189</v>
      </c>
      <c r="F239" s="13">
        <v>45437</v>
      </c>
      <c r="G239" s="13" t="str">
        <f t="shared" si="15"/>
        <v>Saturday</v>
      </c>
      <c r="H239" s="13" t="str">
        <f t="shared" si="16"/>
        <v>May</v>
      </c>
      <c r="I239" s="6">
        <v>9500</v>
      </c>
      <c r="J239" s="6" t="str">
        <f t="shared" si="17"/>
        <v>Recorded</v>
      </c>
      <c r="K239" t="s">
        <v>1922</v>
      </c>
      <c r="L239" t="str">
        <f t="shared" si="19"/>
        <v>Regular</v>
      </c>
      <c r="M239" t="str">
        <f t="shared" si="18"/>
        <v>Not Provided</v>
      </c>
    </row>
    <row r="240" spans="1:13" ht="15.75" x14ac:dyDescent="0.3">
      <c r="A240" s="1" t="s">
        <v>1249</v>
      </c>
      <c r="B240" s="1" t="s">
        <v>1691</v>
      </c>
      <c r="C240">
        <v>30</v>
      </c>
      <c r="D240" s="1" t="s">
        <v>5</v>
      </c>
      <c r="E240" s="1" t="s">
        <v>189</v>
      </c>
      <c r="F240" s="13">
        <v>36850</v>
      </c>
      <c r="G240" s="13" t="str">
        <f t="shared" si="15"/>
        <v>Monday</v>
      </c>
      <c r="H240" s="13" t="str">
        <f t="shared" si="16"/>
        <v>November</v>
      </c>
      <c r="I240" s="6">
        <v>9500</v>
      </c>
      <c r="J240" s="6" t="str">
        <f t="shared" si="17"/>
        <v>Recorded</v>
      </c>
      <c r="K240" t="s">
        <v>1922</v>
      </c>
      <c r="L240" t="str">
        <f t="shared" si="19"/>
        <v>Regular</v>
      </c>
      <c r="M240" t="str">
        <f t="shared" si="18"/>
        <v>Not Provided</v>
      </c>
    </row>
    <row r="241" spans="1:13" ht="15.75" x14ac:dyDescent="0.3">
      <c r="A241" s="1" t="s">
        <v>1250</v>
      </c>
      <c r="B241" s="1" t="s">
        <v>1692</v>
      </c>
      <c r="C241">
        <v>47</v>
      </c>
      <c r="D241" s="1" t="s">
        <v>8</v>
      </c>
      <c r="E241" s="1" t="s">
        <v>1915</v>
      </c>
      <c r="F241" s="13">
        <v>40456</v>
      </c>
      <c r="G241" s="13" t="str">
        <f t="shared" si="15"/>
        <v>Tuesday</v>
      </c>
      <c r="H241" s="13" t="str">
        <f t="shared" si="16"/>
        <v>October</v>
      </c>
      <c r="I241" s="6">
        <v>850</v>
      </c>
      <c r="J241" s="6" t="str">
        <f t="shared" si="17"/>
        <v>Recorded</v>
      </c>
      <c r="K241" t="s">
        <v>1917</v>
      </c>
      <c r="L241" t="str">
        <f t="shared" si="19"/>
        <v>Regular</v>
      </c>
      <c r="M241" t="str">
        <f t="shared" si="18"/>
        <v>Lagos</v>
      </c>
    </row>
    <row r="242" spans="1:13" ht="15.75" x14ac:dyDescent="0.3">
      <c r="A242" s="1" t="s">
        <v>1251</v>
      </c>
      <c r="B242" s="1" t="s">
        <v>1693</v>
      </c>
      <c r="C242">
        <v>20</v>
      </c>
      <c r="D242" s="1" t="s">
        <v>5</v>
      </c>
      <c r="E242" s="1" t="s">
        <v>189</v>
      </c>
      <c r="F242" s="14">
        <v>44033</v>
      </c>
      <c r="G242" s="13" t="str">
        <f t="shared" si="15"/>
        <v>Tuesday</v>
      </c>
      <c r="H242" s="13" t="str">
        <f t="shared" si="16"/>
        <v>July</v>
      </c>
      <c r="I242" s="6">
        <v>1500</v>
      </c>
      <c r="J242" s="6" t="str">
        <f t="shared" si="17"/>
        <v>Recorded</v>
      </c>
      <c r="K242" t="s">
        <v>1917</v>
      </c>
      <c r="L242" t="str">
        <f t="shared" si="19"/>
        <v>Regular</v>
      </c>
      <c r="M242" t="str">
        <f t="shared" si="18"/>
        <v>Lagos</v>
      </c>
    </row>
    <row r="243" spans="1:13" ht="15.75" x14ac:dyDescent="0.3">
      <c r="A243" s="1" t="s">
        <v>1252</v>
      </c>
      <c r="B243" s="1" t="s">
        <v>1694</v>
      </c>
      <c r="C243">
        <v>60</v>
      </c>
      <c r="D243" s="1" t="s">
        <v>8</v>
      </c>
      <c r="E243" s="1" t="s">
        <v>1915</v>
      </c>
      <c r="F243" s="13">
        <v>43512</v>
      </c>
      <c r="G243" s="13" t="str">
        <f t="shared" si="15"/>
        <v>Saturday</v>
      </c>
      <c r="H243" s="13" t="str">
        <f t="shared" si="16"/>
        <v>February</v>
      </c>
      <c r="I243" s="6">
        <v>9500</v>
      </c>
      <c r="J243" s="6" t="str">
        <f t="shared" si="17"/>
        <v>Recorded</v>
      </c>
      <c r="K243" t="s">
        <v>1919</v>
      </c>
      <c r="L243" t="str">
        <f t="shared" si="19"/>
        <v>Regular</v>
      </c>
      <c r="M243" t="str">
        <f t="shared" si="18"/>
        <v>Spain</v>
      </c>
    </row>
    <row r="244" spans="1:13" ht="15.75" x14ac:dyDescent="0.3">
      <c r="A244" s="1" t="s">
        <v>1253</v>
      </c>
      <c r="B244" s="1" t="s">
        <v>1695</v>
      </c>
      <c r="C244">
        <v>26</v>
      </c>
      <c r="D244" s="1" t="s">
        <v>70</v>
      </c>
      <c r="E244" s="1" t="s">
        <v>189</v>
      </c>
      <c r="F244" s="13">
        <v>39008</v>
      </c>
      <c r="G244" s="13" t="str">
        <f t="shared" si="15"/>
        <v>Wednesday</v>
      </c>
      <c r="H244" s="13" t="str">
        <f t="shared" si="16"/>
        <v>October</v>
      </c>
      <c r="I244" s="6">
        <v>1500</v>
      </c>
      <c r="J244" s="6" t="str">
        <f t="shared" si="17"/>
        <v>Recorded</v>
      </c>
      <c r="K244" t="s">
        <v>1916</v>
      </c>
      <c r="L244" t="str">
        <f t="shared" si="19"/>
        <v>Regular</v>
      </c>
      <c r="M244" t="str">
        <f t="shared" si="18"/>
        <v>South Africa</v>
      </c>
    </row>
    <row r="245" spans="1:13" ht="15.75" x14ac:dyDescent="0.3">
      <c r="A245" s="1" t="s">
        <v>1253</v>
      </c>
      <c r="B245" s="1" t="s">
        <v>1695</v>
      </c>
      <c r="C245">
        <v>29</v>
      </c>
      <c r="D245" s="1" t="s">
        <v>8</v>
      </c>
      <c r="E245" s="1" t="s">
        <v>1915</v>
      </c>
      <c r="F245" s="13">
        <v>39008</v>
      </c>
      <c r="G245" s="13" t="str">
        <f t="shared" si="15"/>
        <v>Wednesday</v>
      </c>
      <c r="H245" s="13" t="str">
        <f t="shared" si="16"/>
        <v>October</v>
      </c>
      <c r="I245" s="6">
        <v>1500</v>
      </c>
      <c r="J245" s="6" t="str">
        <f t="shared" si="17"/>
        <v>Recorded</v>
      </c>
      <c r="K245" t="s">
        <v>1922</v>
      </c>
      <c r="L245" t="str">
        <f t="shared" si="19"/>
        <v>Regular</v>
      </c>
      <c r="M245" t="str">
        <f t="shared" si="18"/>
        <v>South Africa</v>
      </c>
    </row>
    <row r="246" spans="1:13" ht="15.75" x14ac:dyDescent="0.3">
      <c r="A246" s="1" t="s">
        <v>1254</v>
      </c>
      <c r="B246" s="1" t="s">
        <v>1696</v>
      </c>
      <c r="C246">
        <v>41</v>
      </c>
      <c r="D246" s="1" t="s">
        <v>5</v>
      </c>
      <c r="E246" s="1" t="s">
        <v>1915</v>
      </c>
      <c r="F246" s="13">
        <v>28958</v>
      </c>
      <c r="G246" s="13" t="str">
        <f t="shared" si="15"/>
        <v>Friday</v>
      </c>
      <c r="H246" s="13" t="str">
        <f t="shared" si="16"/>
        <v>April</v>
      </c>
      <c r="I246" s="6">
        <v>295.36425398299599</v>
      </c>
      <c r="J246" s="6" t="str">
        <f t="shared" si="17"/>
        <v>Recorded</v>
      </c>
      <c r="K246" t="s">
        <v>1922</v>
      </c>
      <c r="L246" t="str">
        <f t="shared" si="19"/>
        <v>Regular</v>
      </c>
      <c r="M246" t="str">
        <f t="shared" si="18"/>
        <v>Not Provided</v>
      </c>
    </row>
    <row r="247" spans="1:13" ht="15.75" x14ac:dyDescent="0.3">
      <c r="A247" s="1" t="s">
        <v>1255</v>
      </c>
      <c r="B247" s="1" t="s">
        <v>1697</v>
      </c>
      <c r="C247">
        <v>30</v>
      </c>
      <c r="D247" s="1" t="s">
        <v>8</v>
      </c>
      <c r="E247" s="1" t="s">
        <v>1915</v>
      </c>
      <c r="F247" s="13">
        <v>45441</v>
      </c>
      <c r="G247" s="13" t="str">
        <f t="shared" si="15"/>
        <v>Wednesday</v>
      </c>
      <c r="H247" s="13" t="str">
        <f t="shared" si="16"/>
        <v>May</v>
      </c>
      <c r="I247" s="6">
        <v>3760</v>
      </c>
      <c r="J247" s="6" t="str">
        <f t="shared" si="17"/>
        <v>Recorded</v>
      </c>
      <c r="K247" t="s">
        <v>1922</v>
      </c>
      <c r="L247" t="str">
        <f t="shared" si="19"/>
        <v>Regular</v>
      </c>
      <c r="M247" t="str">
        <f t="shared" si="18"/>
        <v>Not Provided</v>
      </c>
    </row>
    <row r="248" spans="1:13" ht="15.75" x14ac:dyDescent="0.3">
      <c r="A248" s="1" t="s">
        <v>1256</v>
      </c>
      <c r="B248" s="1" t="s">
        <v>1698</v>
      </c>
      <c r="C248">
        <v>30</v>
      </c>
      <c r="D248" s="1" t="s">
        <v>5</v>
      </c>
      <c r="E248" s="1" t="s">
        <v>189</v>
      </c>
      <c r="F248" s="13">
        <v>28853</v>
      </c>
      <c r="G248" s="13" t="str">
        <f t="shared" si="15"/>
        <v>Friday</v>
      </c>
      <c r="H248" s="13" t="str">
        <f t="shared" si="16"/>
        <v>December</v>
      </c>
      <c r="I248" s="6">
        <v>1500</v>
      </c>
      <c r="J248" s="6" t="str">
        <f t="shared" si="17"/>
        <v>Recorded</v>
      </c>
      <c r="K248" t="s">
        <v>1917</v>
      </c>
      <c r="L248" t="str">
        <f t="shared" si="19"/>
        <v>Regular</v>
      </c>
      <c r="M248" t="str">
        <f t="shared" si="18"/>
        <v>Lagos</v>
      </c>
    </row>
    <row r="249" spans="1:13" ht="15.75" x14ac:dyDescent="0.3">
      <c r="A249" s="1" t="s">
        <v>1257</v>
      </c>
      <c r="B249" s="1" t="s">
        <v>1699</v>
      </c>
      <c r="C249">
        <v>20</v>
      </c>
      <c r="D249" s="1" t="s">
        <v>8</v>
      </c>
      <c r="E249" s="1" t="s">
        <v>189</v>
      </c>
      <c r="F249" s="13">
        <v>45473</v>
      </c>
      <c r="G249" s="13" t="str">
        <f t="shared" si="15"/>
        <v>Sunday</v>
      </c>
      <c r="H249" s="13" t="str">
        <f t="shared" si="16"/>
        <v>June</v>
      </c>
      <c r="I249" s="6">
        <v>1500</v>
      </c>
      <c r="J249" s="6" t="str">
        <f t="shared" si="17"/>
        <v>Recorded</v>
      </c>
      <c r="K249" t="s">
        <v>1918</v>
      </c>
      <c r="L249" t="str">
        <f t="shared" si="19"/>
        <v>Regular</v>
      </c>
      <c r="M249" t="str">
        <f t="shared" si="18"/>
        <v>India</v>
      </c>
    </row>
    <row r="250" spans="1:13" ht="15.75" x14ac:dyDescent="0.3">
      <c r="A250" s="1" t="s">
        <v>1258</v>
      </c>
      <c r="B250" s="1" t="s">
        <v>1700</v>
      </c>
      <c r="C250">
        <v>20</v>
      </c>
      <c r="D250" s="1" t="s">
        <v>8</v>
      </c>
      <c r="E250" s="1" t="s">
        <v>1915</v>
      </c>
      <c r="F250" s="14">
        <v>44058</v>
      </c>
      <c r="G250" s="13" t="str">
        <f t="shared" si="15"/>
        <v>Saturday</v>
      </c>
      <c r="H250" s="13" t="str">
        <f t="shared" si="16"/>
        <v>August</v>
      </c>
      <c r="I250" s="6">
        <v>1230</v>
      </c>
      <c r="J250" s="6" t="str">
        <f t="shared" si="17"/>
        <v>Recorded</v>
      </c>
      <c r="K250" t="s">
        <v>1922</v>
      </c>
      <c r="L250" t="str">
        <f t="shared" si="19"/>
        <v>Regular</v>
      </c>
      <c r="M250" t="str">
        <f t="shared" si="18"/>
        <v>Not Provided</v>
      </c>
    </row>
    <row r="251" spans="1:13" ht="15.75" x14ac:dyDescent="0.3">
      <c r="A251" s="1" t="s">
        <v>1259</v>
      </c>
      <c r="B251" s="1" t="s">
        <v>1701</v>
      </c>
      <c r="C251">
        <v>30</v>
      </c>
      <c r="D251" s="1" t="s">
        <v>8</v>
      </c>
      <c r="E251" s="1" t="s">
        <v>189</v>
      </c>
      <c r="F251" s="13">
        <v>45480</v>
      </c>
      <c r="G251" s="13" t="str">
        <f t="shared" si="15"/>
        <v>Sunday</v>
      </c>
      <c r="H251" s="13" t="str">
        <f t="shared" si="16"/>
        <v>July</v>
      </c>
      <c r="I251" s="6">
        <v>1500</v>
      </c>
      <c r="J251" s="6" t="str">
        <f t="shared" si="17"/>
        <v>Recorded</v>
      </c>
      <c r="K251" t="s">
        <v>1919</v>
      </c>
      <c r="L251" t="str">
        <f t="shared" si="19"/>
        <v>Regular</v>
      </c>
      <c r="M251" t="str">
        <f t="shared" si="18"/>
        <v>Spain</v>
      </c>
    </row>
    <row r="252" spans="1:13" ht="15.75" x14ac:dyDescent="0.3">
      <c r="A252" s="1" t="s">
        <v>1260</v>
      </c>
      <c r="B252" s="1" t="s">
        <v>1702</v>
      </c>
      <c r="C252">
        <v>20</v>
      </c>
      <c r="D252" s="1" t="s">
        <v>8</v>
      </c>
      <c r="E252" s="1" t="s">
        <v>189</v>
      </c>
      <c r="F252" s="13">
        <v>30085</v>
      </c>
      <c r="G252" s="13" t="str">
        <f t="shared" si="15"/>
        <v>Friday</v>
      </c>
      <c r="H252" s="13" t="str">
        <f t="shared" si="16"/>
        <v>May</v>
      </c>
      <c r="I252" s="6">
        <v>1500</v>
      </c>
      <c r="J252" s="6" t="str">
        <f t="shared" si="17"/>
        <v>Recorded</v>
      </c>
      <c r="K252" t="s">
        <v>1917</v>
      </c>
      <c r="L252" t="str">
        <f t="shared" si="19"/>
        <v>Regular</v>
      </c>
      <c r="M252" t="str">
        <f t="shared" si="18"/>
        <v>Lagos</v>
      </c>
    </row>
    <row r="253" spans="1:13" ht="15.75" x14ac:dyDescent="0.3">
      <c r="A253" s="1" t="s">
        <v>1261</v>
      </c>
      <c r="B253" s="1" t="s">
        <v>1703</v>
      </c>
      <c r="C253">
        <v>30</v>
      </c>
      <c r="D253" s="1" t="s">
        <v>5</v>
      </c>
      <c r="E253" s="1" t="s">
        <v>189</v>
      </c>
      <c r="F253" s="13">
        <v>45467</v>
      </c>
      <c r="G253" s="13" t="str">
        <f t="shared" si="15"/>
        <v>Monday</v>
      </c>
      <c r="H253" s="13" t="str">
        <f t="shared" si="16"/>
        <v>June</v>
      </c>
      <c r="I253" s="6">
        <v>479.44845860386903</v>
      </c>
      <c r="J253" s="6" t="str">
        <f t="shared" si="17"/>
        <v>Recorded</v>
      </c>
      <c r="K253" t="s">
        <v>1922</v>
      </c>
      <c r="L253" t="str">
        <f t="shared" si="19"/>
        <v>Regular</v>
      </c>
      <c r="M253" t="str">
        <f t="shared" si="18"/>
        <v>Not Provided</v>
      </c>
    </row>
    <row r="254" spans="1:13" ht="15.75" x14ac:dyDescent="0.3">
      <c r="A254" s="1" t="s">
        <v>1262</v>
      </c>
      <c r="B254" s="1" t="s">
        <v>1704</v>
      </c>
      <c r="C254">
        <v>30</v>
      </c>
      <c r="D254" s="1" t="s">
        <v>5</v>
      </c>
      <c r="E254" s="1" t="s">
        <v>189</v>
      </c>
      <c r="F254" s="13">
        <v>36276</v>
      </c>
      <c r="G254" s="13" t="str">
        <f t="shared" si="15"/>
        <v>Monday</v>
      </c>
      <c r="H254" s="13" t="str">
        <f t="shared" si="16"/>
        <v>April</v>
      </c>
      <c r="I254" s="6">
        <v>76.989638932025997</v>
      </c>
      <c r="J254" s="6" t="str">
        <f t="shared" si="17"/>
        <v>Recorded</v>
      </c>
      <c r="K254" t="s">
        <v>1917</v>
      </c>
      <c r="L254" t="str">
        <f t="shared" si="19"/>
        <v>Regular</v>
      </c>
      <c r="M254" t="str">
        <f t="shared" si="18"/>
        <v>Lagos</v>
      </c>
    </row>
    <row r="255" spans="1:13" ht="15.75" x14ac:dyDescent="0.3">
      <c r="A255" s="1" t="s">
        <v>1262</v>
      </c>
      <c r="B255" s="1" t="s">
        <v>1704</v>
      </c>
      <c r="C255">
        <v>20</v>
      </c>
      <c r="D255" s="1" t="s">
        <v>5</v>
      </c>
      <c r="E255" s="1" t="s">
        <v>189</v>
      </c>
      <c r="F255" s="13">
        <v>36276</v>
      </c>
      <c r="G255" s="13" t="str">
        <f t="shared" si="15"/>
        <v>Monday</v>
      </c>
      <c r="H255" s="13" t="str">
        <f t="shared" si="16"/>
        <v>April</v>
      </c>
      <c r="I255" s="6">
        <v>76.989638932025997</v>
      </c>
      <c r="J255" s="6" t="str">
        <f t="shared" si="17"/>
        <v>Recorded</v>
      </c>
      <c r="K255" t="s">
        <v>1919</v>
      </c>
      <c r="L255" t="str">
        <f t="shared" si="19"/>
        <v>Regular</v>
      </c>
      <c r="M255" t="str">
        <f t="shared" si="18"/>
        <v>Lagos</v>
      </c>
    </row>
    <row r="256" spans="1:13" ht="15.75" x14ac:dyDescent="0.3">
      <c r="A256" s="1" t="s">
        <v>1263</v>
      </c>
      <c r="B256" s="1" t="s">
        <v>1705</v>
      </c>
      <c r="C256">
        <v>20</v>
      </c>
      <c r="D256" s="1" t="s">
        <v>5</v>
      </c>
      <c r="E256" s="1" t="s">
        <v>189</v>
      </c>
      <c r="F256" s="14">
        <v>44316</v>
      </c>
      <c r="G256" s="13" t="str">
        <f t="shared" si="15"/>
        <v>Friday</v>
      </c>
      <c r="H256" s="13" t="str">
        <f t="shared" si="16"/>
        <v>April</v>
      </c>
      <c r="I256" s="6">
        <v>120000</v>
      </c>
      <c r="J256" s="6" t="str">
        <f t="shared" si="17"/>
        <v>Recorded</v>
      </c>
      <c r="K256" t="s">
        <v>1922</v>
      </c>
      <c r="L256" t="str">
        <f t="shared" si="19"/>
        <v>High value</v>
      </c>
      <c r="M256" t="str">
        <f t="shared" si="18"/>
        <v>Not Provided</v>
      </c>
    </row>
    <row r="257" spans="1:13" ht="15.75" x14ac:dyDescent="0.3">
      <c r="A257" s="1" t="s">
        <v>1264</v>
      </c>
      <c r="B257" s="1" t="s">
        <v>1706</v>
      </c>
      <c r="C257">
        <v>30</v>
      </c>
      <c r="D257" s="1" t="s">
        <v>5</v>
      </c>
      <c r="E257" s="1" t="s">
        <v>1915</v>
      </c>
      <c r="F257" s="14">
        <v>44168</v>
      </c>
      <c r="G257" s="13" t="str">
        <f t="shared" si="15"/>
        <v>Thursday</v>
      </c>
      <c r="H257" s="13" t="str">
        <f t="shared" si="16"/>
        <v>December</v>
      </c>
      <c r="I257" s="6">
        <v>906.46890391195802</v>
      </c>
      <c r="J257" s="6" t="str">
        <f t="shared" si="17"/>
        <v>Recorded</v>
      </c>
      <c r="K257" t="s">
        <v>1922</v>
      </c>
      <c r="L257" t="str">
        <f t="shared" si="19"/>
        <v>Regular</v>
      </c>
      <c r="M257" t="str">
        <f t="shared" si="18"/>
        <v>Not Provided</v>
      </c>
    </row>
    <row r="258" spans="1:13" ht="15.75" x14ac:dyDescent="0.3">
      <c r="A258" s="1" t="s">
        <v>1265</v>
      </c>
      <c r="B258" s="1" t="s">
        <v>1707</v>
      </c>
      <c r="C258">
        <v>30</v>
      </c>
      <c r="D258" s="1" t="s">
        <v>8</v>
      </c>
      <c r="E258" s="1" t="s">
        <v>1915</v>
      </c>
      <c r="F258" s="13">
        <v>42812</v>
      </c>
      <c r="G258" s="13" t="str">
        <f t="shared" si="15"/>
        <v>Saturday</v>
      </c>
      <c r="H258" s="13" t="str">
        <f t="shared" si="16"/>
        <v>March</v>
      </c>
      <c r="I258" s="6">
        <v>1500</v>
      </c>
      <c r="J258" s="6" t="str">
        <f t="shared" si="17"/>
        <v>Recorded</v>
      </c>
      <c r="K258" t="s">
        <v>1922</v>
      </c>
      <c r="L258" t="str">
        <f t="shared" si="19"/>
        <v>Regular</v>
      </c>
      <c r="M258" t="str">
        <f t="shared" si="18"/>
        <v>Not Provided</v>
      </c>
    </row>
    <row r="259" spans="1:13" ht="15.75" x14ac:dyDescent="0.3">
      <c r="A259" s="1" t="s">
        <v>1266</v>
      </c>
      <c r="B259" s="1" t="s">
        <v>1708</v>
      </c>
      <c r="C259">
        <v>30</v>
      </c>
      <c r="D259" s="1" t="s">
        <v>8</v>
      </c>
      <c r="E259" s="1" t="s">
        <v>189</v>
      </c>
      <c r="F259" s="13">
        <v>32411</v>
      </c>
      <c r="G259" s="13" t="str">
        <f t="shared" ref="G259:G322" si="20">TEXT(F259,"DDDD")</f>
        <v>Sunday</v>
      </c>
      <c r="H259" s="13" t="str">
        <f t="shared" ref="H259:H322" si="21">TEXT(F259,"MMMM")</f>
        <v>September</v>
      </c>
      <c r="I259" s="6">
        <v>696.68046574207699</v>
      </c>
      <c r="J259" s="6" t="str">
        <f t="shared" ref="J259:J322" si="22">IF(LEN(TRIM(I259))=0,"Not Recorded","Recorded")</f>
        <v>Recorded</v>
      </c>
      <c r="K259" t="s">
        <v>1918</v>
      </c>
      <c r="L259" t="str">
        <f t="shared" si="19"/>
        <v>Regular</v>
      </c>
      <c r="M259" t="str">
        <f t="shared" ref="M259:M322" si="23">_xlfn.XLOOKUP(A259,A:A,K:K,"Not Provided",0)</f>
        <v>India</v>
      </c>
    </row>
    <row r="260" spans="1:13" ht="15.75" x14ac:dyDescent="0.3">
      <c r="A260" s="1" t="s">
        <v>1267</v>
      </c>
      <c r="B260" s="1" t="s">
        <v>1709</v>
      </c>
      <c r="C260">
        <v>30</v>
      </c>
      <c r="D260" s="1" t="s">
        <v>8</v>
      </c>
      <c r="E260" s="1" t="s">
        <v>1915</v>
      </c>
      <c r="F260" s="13">
        <v>40782</v>
      </c>
      <c r="G260" s="13" t="str">
        <f t="shared" si="20"/>
        <v>Saturday</v>
      </c>
      <c r="H260" s="13" t="str">
        <f t="shared" si="21"/>
        <v>August</v>
      </c>
      <c r="I260" s="6">
        <v>9500</v>
      </c>
      <c r="J260" s="6" t="str">
        <f t="shared" si="22"/>
        <v>Recorded</v>
      </c>
      <c r="K260" t="s">
        <v>1918</v>
      </c>
      <c r="L260" t="str">
        <f t="shared" ref="L260:L323" si="24">IF(I260&gt;10000,"High value","Regular")</f>
        <v>Regular</v>
      </c>
      <c r="M260" t="str">
        <f t="shared" si="23"/>
        <v>India</v>
      </c>
    </row>
    <row r="261" spans="1:13" ht="15.75" x14ac:dyDescent="0.3">
      <c r="A261" s="1" t="s">
        <v>1268</v>
      </c>
      <c r="B261" s="1" t="s">
        <v>1710</v>
      </c>
      <c r="C261">
        <v>30</v>
      </c>
      <c r="D261" s="1" t="s">
        <v>8</v>
      </c>
      <c r="E261" s="1" t="s">
        <v>189</v>
      </c>
      <c r="F261" s="14">
        <v>44033</v>
      </c>
      <c r="G261" s="13" t="str">
        <f t="shared" si="20"/>
        <v>Tuesday</v>
      </c>
      <c r="H261" s="13" t="str">
        <f t="shared" si="21"/>
        <v>July</v>
      </c>
      <c r="I261" s="6">
        <v>9500</v>
      </c>
      <c r="J261" s="6" t="str">
        <f t="shared" si="22"/>
        <v>Recorded</v>
      </c>
      <c r="K261" t="s">
        <v>1919</v>
      </c>
      <c r="L261" t="str">
        <f t="shared" si="24"/>
        <v>Regular</v>
      </c>
      <c r="M261" t="str">
        <f t="shared" si="23"/>
        <v>Spain</v>
      </c>
    </row>
    <row r="262" spans="1:13" ht="15.75" x14ac:dyDescent="0.3">
      <c r="A262" s="1" t="s">
        <v>1269</v>
      </c>
      <c r="B262" s="1" t="s">
        <v>1711</v>
      </c>
      <c r="C262">
        <v>20</v>
      </c>
      <c r="D262" s="1" t="s">
        <v>8</v>
      </c>
      <c r="E262" s="1" t="s">
        <v>189</v>
      </c>
      <c r="F262" s="13">
        <v>45601</v>
      </c>
      <c r="G262" s="13" t="str">
        <f t="shared" si="20"/>
        <v>Tuesday</v>
      </c>
      <c r="H262" s="13" t="str">
        <f t="shared" si="21"/>
        <v>November</v>
      </c>
      <c r="I262" s="6">
        <v>9500</v>
      </c>
      <c r="J262" s="6" t="str">
        <f t="shared" si="22"/>
        <v>Recorded</v>
      </c>
      <c r="K262" t="s">
        <v>1917</v>
      </c>
      <c r="L262" t="str">
        <f t="shared" si="24"/>
        <v>Regular</v>
      </c>
      <c r="M262" t="str">
        <f t="shared" si="23"/>
        <v>Lagos</v>
      </c>
    </row>
    <row r="263" spans="1:13" ht="15.75" x14ac:dyDescent="0.3">
      <c r="A263" s="1" t="s">
        <v>1270</v>
      </c>
      <c r="B263" s="1" t="s">
        <v>1712</v>
      </c>
      <c r="C263">
        <v>20</v>
      </c>
      <c r="D263" s="1" t="s">
        <v>5</v>
      </c>
      <c r="E263" s="1" t="s">
        <v>1915</v>
      </c>
      <c r="F263" s="14">
        <v>44606</v>
      </c>
      <c r="G263" s="13" t="str">
        <f t="shared" si="20"/>
        <v>Monday</v>
      </c>
      <c r="H263" s="13" t="str">
        <f t="shared" si="21"/>
        <v>February</v>
      </c>
      <c r="I263" s="6">
        <v>9800</v>
      </c>
      <c r="J263" s="6" t="str">
        <f t="shared" si="22"/>
        <v>Recorded</v>
      </c>
      <c r="K263" t="s">
        <v>1919</v>
      </c>
      <c r="L263" t="str">
        <f t="shared" si="24"/>
        <v>Regular</v>
      </c>
      <c r="M263" t="str">
        <f t="shared" si="23"/>
        <v>Spain</v>
      </c>
    </row>
    <row r="264" spans="1:13" ht="15.75" x14ac:dyDescent="0.3">
      <c r="A264" s="1" t="s">
        <v>1271</v>
      </c>
      <c r="B264" s="1" t="s">
        <v>1713</v>
      </c>
      <c r="C264">
        <v>20</v>
      </c>
      <c r="D264" s="1" t="s">
        <v>5</v>
      </c>
      <c r="E264" s="1" t="s">
        <v>189</v>
      </c>
      <c r="F264" s="13">
        <v>45425</v>
      </c>
      <c r="G264" s="13" t="str">
        <f t="shared" si="20"/>
        <v>Monday</v>
      </c>
      <c r="H264" s="13" t="str">
        <f t="shared" si="21"/>
        <v>May</v>
      </c>
      <c r="I264" s="6">
        <v>1500</v>
      </c>
      <c r="J264" s="6" t="str">
        <f t="shared" si="22"/>
        <v>Recorded</v>
      </c>
      <c r="K264" t="s">
        <v>1917</v>
      </c>
      <c r="L264" t="str">
        <f t="shared" si="24"/>
        <v>Regular</v>
      </c>
      <c r="M264" t="str">
        <f t="shared" si="23"/>
        <v>Lagos</v>
      </c>
    </row>
    <row r="265" spans="1:13" ht="15.75" x14ac:dyDescent="0.3">
      <c r="A265" s="1" t="s">
        <v>1272</v>
      </c>
      <c r="B265" s="1" t="s">
        <v>1714</v>
      </c>
      <c r="C265">
        <v>30</v>
      </c>
      <c r="D265" s="1" t="s">
        <v>5</v>
      </c>
      <c r="E265" s="1" t="s">
        <v>189</v>
      </c>
      <c r="F265" s="13">
        <v>41332</v>
      </c>
      <c r="G265" s="13" t="str">
        <f t="shared" si="20"/>
        <v>Wednesday</v>
      </c>
      <c r="H265" s="13" t="str">
        <f t="shared" si="21"/>
        <v>February</v>
      </c>
      <c r="I265" s="6">
        <v>520</v>
      </c>
      <c r="J265" s="6" t="str">
        <f t="shared" si="22"/>
        <v>Recorded</v>
      </c>
      <c r="K265" t="s">
        <v>1917</v>
      </c>
      <c r="L265" t="str">
        <f t="shared" si="24"/>
        <v>Regular</v>
      </c>
      <c r="M265" t="str">
        <f t="shared" si="23"/>
        <v>Lagos</v>
      </c>
    </row>
    <row r="266" spans="1:13" ht="15.75" x14ac:dyDescent="0.3">
      <c r="A266" s="1" t="s">
        <v>1273</v>
      </c>
      <c r="B266" s="1" t="s">
        <v>1715</v>
      </c>
      <c r="C266">
        <v>52</v>
      </c>
      <c r="D266" s="1" t="s">
        <v>5</v>
      </c>
      <c r="E266" s="1" t="s">
        <v>1915</v>
      </c>
      <c r="F266" s="14">
        <v>44509</v>
      </c>
      <c r="G266" s="13" t="str">
        <f t="shared" si="20"/>
        <v>Tuesday</v>
      </c>
      <c r="H266" s="13" t="str">
        <f t="shared" si="21"/>
        <v>November</v>
      </c>
      <c r="I266" s="6">
        <v>9500</v>
      </c>
      <c r="J266" s="6" t="str">
        <f t="shared" si="22"/>
        <v>Recorded</v>
      </c>
      <c r="K266" t="s">
        <v>1922</v>
      </c>
      <c r="L266" t="str">
        <f t="shared" si="24"/>
        <v>Regular</v>
      </c>
      <c r="M266" t="str">
        <f t="shared" si="23"/>
        <v>Not Provided</v>
      </c>
    </row>
    <row r="267" spans="1:13" ht="15.75" x14ac:dyDescent="0.3">
      <c r="A267" s="1" t="s">
        <v>1274</v>
      </c>
      <c r="B267" s="1" t="s">
        <v>1716</v>
      </c>
      <c r="C267">
        <v>20</v>
      </c>
      <c r="D267" s="1" t="s">
        <v>5</v>
      </c>
      <c r="E267" s="1" t="s">
        <v>189</v>
      </c>
      <c r="F267" s="13">
        <v>45344</v>
      </c>
      <c r="G267" s="13" t="str">
        <f t="shared" si="20"/>
        <v>Thursday</v>
      </c>
      <c r="H267" s="13" t="str">
        <f t="shared" si="21"/>
        <v>February</v>
      </c>
      <c r="I267" s="6">
        <v>9500</v>
      </c>
      <c r="J267" s="6" t="str">
        <f t="shared" si="22"/>
        <v>Recorded</v>
      </c>
      <c r="K267" t="s">
        <v>1916</v>
      </c>
      <c r="L267" t="str">
        <f t="shared" si="24"/>
        <v>Regular</v>
      </c>
      <c r="M267" t="str">
        <f t="shared" si="23"/>
        <v>South Africa</v>
      </c>
    </row>
    <row r="268" spans="1:13" ht="15.75" x14ac:dyDescent="0.3">
      <c r="A268" s="1" t="s">
        <v>1275</v>
      </c>
      <c r="B268" s="1" t="s">
        <v>1717</v>
      </c>
      <c r="C268">
        <v>54</v>
      </c>
      <c r="D268" s="1" t="s">
        <v>8</v>
      </c>
      <c r="E268" s="1" t="s">
        <v>1915</v>
      </c>
      <c r="F268" s="13">
        <v>45364</v>
      </c>
      <c r="G268" s="13" t="str">
        <f t="shared" si="20"/>
        <v>Wednesday</v>
      </c>
      <c r="H268" s="13" t="str">
        <f t="shared" si="21"/>
        <v>March</v>
      </c>
      <c r="I268" s="6">
        <v>767.64074282127797</v>
      </c>
      <c r="J268" s="6" t="str">
        <f t="shared" si="22"/>
        <v>Recorded</v>
      </c>
      <c r="K268" t="s">
        <v>1919</v>
      </c>
      <c r="L268" t="str">
        <f t="shared" si="24"/>
        <v>Regular</v>
      </c>
      <c r="M268" t="str">
        <f t="shared" si="23"/>
        <v>Spain</v>
      </c>
    </row>
    <row r="269" spans="1:13" ht="15.75" x14ac:dyDescent="0.3">
      <c r="A269" s="1" t="s">
        <v>1276</v>
      </c>
      <c r="B269" s="1" t="s">
        <v>1718</v>
      </c>
      <c r="C269">
        <v>20</v>
      </c>
      <c r="D269" s="1" t="s">
        <v>5</v>
      </c>
      <c r="E269" s="1" t="s">
        <v>189</v>
      </c>
      <c r="F269" s="14">
        <v>43490</v>
      </c>
      <c r="G269" s="13" t="str">
        <f t="shared" si="20"/>
        <v>Friday</v>
      </c>
      <c r="H269" s="13" t="str">
        <f t="shared" si="21"/>
        <v>January</v>
      </c>
      <c r="I269" s="6">
        <v>5163.5156268235496</v>
      </c>
      <c r="J269" s="6" t="str">
        <f t="shared" si="22"/>
        <v>Recorded</v>
      </c>
      <c r="K269" t="s">
        <v>1922</v>
      </c>
      <c r="L269" t="str">
        <f t="shared" si="24"/>
        <v>Regular</v>
      </c>
      <c r="M269" t="str">
        <f t="shared" si="23"/>
        <v>Not Provided</v>
      </c>
    </row>
    <row r="270" spans="1:13" ht="15.75" x14ac:dyDescent="0.3">
      <c r="A270" s="1" t="s">
        <v>1277</v>
      </c>
      <c r="B270" s="1" t="s">
        <v>1719</v>
      </c>
      <c r="C270">
        <v>39</v>
      </c>
      <c r="D270" s="1" t="s">
        <v>8</v>
      </c>
      <c r="E270" s="1" t="s">
        <v>1915</v>
      </c>
      <c r="F270" s="13">
        <v>45319</v>
      </c>
      <c r="G270" s="13" t="str">
        <f t="shared" si="20"/>
        <v>Sunday</v>
      </c>
      <c r="H270" s="13" t="str">
        <f t="shared" si="21"/>
        <v>January</v>
      </c>
      <c r="I270" s="6">
        <v>2091.4132798554401</v>
      </c>
      <c r="J270" s="6" t="str">
        <f t="shared" si="22"/>
        <v>Recorded</v>
      </c>
      <c r="K270" t="s">
        <v>1922</v>
      </c>
      <c r="L270" t="str">
        <f t="shared" si="24"/>
        <v>Regular</v>
      </c>
      <c r="M270" t="str">
        <f t="shared" si="23"/>
        <v>Not Provided</v>
      </c>
    </row>
    <row r="271" spans="1:13" ht="15.75" x14ac:dyDescent="0.3">
      <c r="A271" s="1" t="s">
        <v>1196</v>
      </c>
      <c r="B271" s="1" t="s">
        <v>1720</v>
      </c>
      <c r="C271">
        <v>30</v>
      </c>
      <c r="D271" s="1" t="s">
        <v>8</v>
      </c>
      <c r="E271" s="1" t="s">
        <v>1915</v>
      </c>
      <c r="F271" s="13">
        <v>44203</v>
      </c>
      <c r="G271" s="13" t="str">
        <f t="shared" si="20"/>
        <v>Thursday</v>
      </c>
      <c r="H271" s="13" t="str">
        <f t="shared" si="21"/>
        <v>January</v>
      </c>
      <c r="I271" s="6">
        <v>618.46916320055902</v>
      </c>
      <c r="J271" s="6" t="str">
        <f t="shared" si="22"/>
        <v>Recorded</v>
      </c>
      <c r="K271" t="s">
        <v>1922</v>
      </c>
      <c r="L271" t="str">
        <f t="shared" si="24"/>
        <v>Regular</v>
      </c>
      <c r="M271" t="str">
        <f t="shared" si="23"/>
        <v>Not Provided</v>
      </c>
    </row>
    <row r="272" spans="1:13" ht="15.75" x14ac:dyDescent="0.3">
      <c r="A272" s="1" t="s">
        <v>1278</v>
      </c>
      <c r="B272" s="1" t="s">
        <v>1721</v>
      </c>
      <c r="C272">
        <v>20</v>
      </c>
      <c r="D272" s="1" t="s">
        <v>8</v>
      </c>
      <c r="E272" s="1" t="s">
        <v>189</v>
      </c>
      <c r="F272" s="13">
        <v>33312</v>
      </c>
      <c r="G272" s="13" t="str">
        <f t="shared" si="20"/>
        <v>Friday</v>
      </c>
      <c r="H272" s="13" t="str">
        <f t="shared" si="21"/>
        <v>March</v>
      </c>
      <c r="I272" s="6">
        <v>1450</v>
      </c>
      <c r="J272" s="6" t="str">
        <f t="shared" si="22"/>
        <v>Recorded</v>
      </c>
      <c r="K272" t="s">
        <v>1919</v>
      </c>
      <c r="L272" t="str">
        <f t="shared" si="24"/>
        <v>Regular</v>
      </c>
      <c r="M272" t="str">
        <f t="shared" si="23"/>
        <v>Spain</v>
      </c>
    </row>
    <row r="273" spans="1:13" ht="15.75" x14ac:dyDescent="0.3">
      <c r="A273" s="1" t="s">
        <v>1279</v>
      </c>
      <c r="B273" s="1" t="s">
        <v>1722</v>
      </c>
      <c r="C273">
        <v>20</v>
      </c>
      <c r="D273" s="1" t="s">
        <v>8</v>
      </c>
      <c r="E273" s="1" t="s">
        <v>189</v>
      </c>
      <c r="F273" s="13">
        <v>39409</v>
      </c>
      <c r="G273" s="13" t="str">
        <f t="shared" si="20"/>
        <v>Friday</v>
      </c>
      <c r="H273" s="13" t="str">
        <f t="shared" si="21"/>
        <v>November</v>
      </c>
      <c r="I273" s="6">
        <v>1500</v>
      </c>
      <c r="J273" s="6" t="str">
        <f t="shared" si="22"/>
        <v>Recorded</v>
      </c>
      <c r="K273" t="s">
        <v>1917</v>
      </c>
      <c r="L273" t="str">
        <f t="shared" si="24"/>
        <v>Regular</v>
      </c>
      <c r="M273" t="str">
        <f t="shared" si="23"/>
        <v>Lagos</v>
      </c>
    </row>
    <row r="274" spans="1:13" ht="15.75" x14ac:dyDescent="0.3">
      <c r="A274" s="1" t="s">
        <v>1280</v>
      </c>
      <c r="B274" s="1" t="s">
        <v>1723</v>
      </c>
      <c r="C274">
        <v>52</v>
      </c>
      <c r="D274" s="1" t="s">
        <v>5</v>
      </c>
      <c r="E274" s="1" t="s">
        <v>189</v>
      </c>
      <c r="F274" s="13">
        <v>40212</v>
      </c>
      <c r="G274" s="13" t="str">
        <f t="shared" si="20"/>
        <v>Wednesday</v>
      </c>
      <c r="H274" s="13" t="str">
        <f t="shared" si="21"/>
        <v>February</v>
      </c>
      <c r="I274" s="6">
        <v>1500</v>
      </c>
      <c r="J274" s="6" t="str">
        <f t="shared" si="22"/>
        <v>Recorded</v>
      </c>
      <c r="K274" t="s">
        <v>1922</v>
      </c>
      <c r="L274" t="str">
        <f t="shared" si="24"/>
        <v>Regular</v>
      </c>
      <c r="M274" t="str">
        <f t="shared" si="23"/>
        <v>Not Provided</v>
      </c>
    </row>
    <row r="275" spans="1:13" ht="15.75" x14ac:dyDescent="0.3">
      <c r="A275" s="1" t="s">
        <v>1281</v>
      </c>
      <c r="B275" s="1" t="s">
        <v>1724</v>
      </c>
      <c r="C275">
        <v>56</v>
      </c>
      <c r="D275" s="1" t="s">
        <v>8</v>
      </c>
      <c r="E275" s="1" t="s">
        <v>1915</v>
      </c>
      <c r="F275" s="13">
        <v>27463</v>
      </c>
      <c r="G275" s="13" t="str">
        <f t="shared" si="20"/>
        <v>Monday</v>
      </c>
      <c r="H275" s="13" t="str">
        <f t="shared" si="21"/>
        <v>March</v>
      </c>
      <c r="I275" s="6">
        <v>373.65406767253199</v>
      </c>
      <c r="J275" s="6" t="str">
        <f t="shared" si="22"/>
        <v>Recorded</v>
      </c>
      <c r="K275" t="s">
        <v>1916</v>
      </c>
      <c r="L275" t="str">
        <f t="shared" si="24"/>
        <v>Regular</v>
      </c>
      <c r="M275" t="str">
        <f t="shared" si="23"/>
        <v>South Africa</v>
      </c>
    </row>
    <row r="276" spans="1:13" ht="15.75" x14ac:dyDescent="0.3">
      <c r="A276" s="1" t="s">
        <v>1282</v>
      </c>
      <c r="B276" s="1" t="s">
        <v>1725</v>
      </c>
      <c r="C276">
        <v>20</v>
      </c>
      <c r="D276" s="1" t="s">
        <v>8</v>
      </c>
      <c r="E276" s="1" t="s">
        <v>1915</v>
      </c>
      <c r="F276" s="13">
        <v>36341</v>
      </c>
      <c r="G276" s="13" t="str">
        <f t="shared" si="20"/>
        <v>Wednesday</v>
      </c>
      <c r="H276" s="13" t="str">
        <f t="shared" si="21"/>
        <v>June</v>
      </c>
      <c r="I276" s="6">
        <v>9357.6047552103901</v>
      </c>
      <c r="J276" s="6" t="str">
        <f t="shared" si="22"/>
        <v>Recorded</v>
      </c>
      <c r="K276" t="s">
        <v>1919</v>
      </c>
      <c r="L276" t="str">
        <f t="shared" si="24"/>
        <v>Regular</v>
      </c>
      <c r="M276" t="str">
        <f t="shared" si="23"/>
        <v>Spain</v>
      </c>
    </row>
    <row r="277" spans="1:13" ht="15.75" x14ac:dyDescent="0.3">
      <c r="A277" s="1" t="s">
        <v>1283</v>
      </c>
      <c r="B277" s="1" t="s">
        <v>1726</v>
      </c>
      <c r="C277">
        <v>20</v>
      </c>
      <c r="D277" s="1" t="s">
        <v>5</v>
      </c>
      <c r="E277" s="1" t="s">
        <v>1915</v>
      </c>
      <c r="F277" s="13">
        <v>45467</v>
      </c>
      <c r="G277" s="13" t="str">
        <f t="shared" si="20"/>
        <v>Monday</v>
      </c>
      <c r="H277" s="13" t="str">
        <f t="shared" si="21"/>
        <v>June</v>
      </c>
      <c r="I277" s="6">
        <v>395.91958481062102</v>
      </c>
      <c r="J277" s="6" t="str">
        <f t="shared" si="22"/>
        <v>Recorded</v>
      </c>
      <c r="K277" t="s">
        <v>1922</v>
      </c>
      <c r="L277" t="str">
        <f t="shared" si="24"/>
        <v>Regular</v>
      </c>
      <c r="M277" t="str">
        <f t="shared" si="23"/>
        <v>Not Provided</v>
      </c>
    </row>
    <row r="278" spans="1:13" ht="15.75" x14ac:dyDescent="0.3">
      <c r="A278" s="1" t="s">
        <v>1284</v>
      </c>
      <c r="B278" s="1" t="s">
        <v>1727</v>
      </c>
      <c r="C278">
        <v>20</v>
      </c>
      <c r="D278" s="1" t="s">
        <v>8</v>
      </c>
      <c r="E278" s="1" t="s">
        <v>189</v>
      </c>
      <c r="F278" s="13">
        <v>44072</v>
      </c>
      <c r="G278" s="13" t="str">
        <f t="shared" si="20"/>
        <v>Saturday</v>
      </c>
      <c r="H278" s="13" t="str">
        <f t="shared" si="21"/>
        <v>August</v>
      </c>
      <c r="I278" s="6">
        <v>369.16325329443299</v>
      </c>
      <c r="J278" s="6" t="str">
        <f t="shared" si="22"/>
        <v>Recorded</v>
      </c>
      <c r="K278" t="s">
        <v>1922</v>
      </c>
      <c r="L278" t="str">
        <f t="shared" si="24"/>
        <v>Regular</v>
      </c>
      <c r="M278" t="str">
        <f t="shared" si="23"/>
        <v>Not Provided</v>
      </c>
    </row>
    <row r="279" spans="1:13" ht="15.75" x14ac:dyDescent="0.3">
      <c r="A279" s="1" t="s">
        <v>1285</v>
      </c>
      <c r="B279" s="1" t="s">
        <v>1728</v>
      </c>
      <c r="C279">
        <v>25</v>
      </c>
      <c r="D279" s="1" t="s">
        <v>5</v>
      </c>
      <c r="E279" s="1" t="s">
        <v>189</v>
      </c>
      <c r="F279" s="13">
        <v>45375</v>
      </c>
      <c r="G279" s="13" t="str">
        <f t="shared" si="20"/>
        <v>Sunday</v>
      </c>
      <c r="H279" s="13" t="str">
        <f t="shared" si="21"/>
        <v>March</v>
      </c>
      <c r="I279" s="6">
        <v>1500</v>
      </c>
      <c r="J279" s="6" t="str">
        <f t="shared" si="22"/>
        <v>Recorded</v>
      </c>
      <c r="K279" t="s">
        <v>1922</v>
      </c>
      <c r="L279" t="str">
        <f t="shared" si="24"/>
        <v>Regular</v>
      </c>
      <c r="M279" t="str">
        <f t="shared" si="23"/>
        <v>Not Provided</v>
      </c>
    </row>
    <row r="280" spans="1:13" ht="15.75" x14ac:dyDescent="0.3">
      <c r="A280" s="1" t="s">
        <v>1286</v>
      </c>
      <c r="B280" s="1" t="s">
        <v>1729</v>
      </c>
      <c r="C280">
        <v>30</v>
      </c>
      <c r="D280" s="1" t="s">
        <v>8</v>
      </c>
      <c r="E280" s="1" t="s">
        <v>189</v>
      </c>
      <c r="F280" s="13">
        <v>33554</v>
      </c>
      <c r="G280" s="13" t="str">
        <f t="shared" si="20"/>
        <v>Tuesday</v>
      </c>
      <c r="H280" s="13" t="str">
        <f t="shared" si="21"/>
        <v>November</v>
      </c>
      <c r="I280" s="6">
        <v>8304.3653221610493</v>
      </c>
      <c r="J280" s="6" t="str">
        <f t="shared" si="22"/>
        <v>Recorded</v>
      </c>
      <c r="K280" t="s">
        <v>1917</v>
      </c>
      <c r="L280" t="str">
        <f t="shared" si="24"/>
        <v>Regular</v>
      </c>
      <c r="M280" t="str">
        <f t="shared" si="23"/>
        <v>Lagos</v>
      </c>
    </row>
    <row r="281" spans="1:13" ht="15.75" x14ac:dyDescent="0.3">
      <c r="A281" s="1" t="s">
        <v>1287</v>
      </c>
      <c r="B281" s="1" t="s">
        <v>1730</v>
      </c>
      <c r="C281">
        <v>69</v>
      </c>
      <c r="D281" s="1" t="s">
        <v>8</v>
      </c>
      <c r="E281" s="1" t="s">
        <v>1915</v>
      </c>
      <c r="F281" s="13">
        <v>45346</v>
      </c>
      <c r="G281" s="13" t="str">
        <f t="shared" si="20"/>
        <v>Saturday</v>
      </c>
      <c r="H281" s="13" t="str">
        <f t="shared" si="21"/>
        <v>February</v>
      </c>
      <c r="I281" s="6">
        <v>1500</v>
      </c>
      <c r="J281" s="6" t="str">
        <f t="shared" si="22"/>
        <v>Recorded</v>
      </c>
      <c r="K281" t="s">
        <v>1917</v>
      </c>
      <c r="L281" t="str">
        <f t="shared" si="24"/>
        <v>Regular</v>
      </c>
      <c r="M281" t="str">
        <f t="shared" si="23"/>
        <v>Lagos</v>
      </c>
    </row>
    <row r="282" spans="1:13" ht="15.75" x14ac:dyDescent="0.3">
      <c r="A282" s="1" t="s">
        <v>1288</v>
      </c>
      <c r="B282" s="1" t="s">
        <v>1731</v>
      </c>
      <c r="C282">
        <v>30</v>
      </c>
      <c r="D282" s="1" t="s">
        <v>8</v>
      </c>
      <c r="E282" s="1" t="s">
        <v>1915</v>
      </c>
      <c r="F282" s="14">
        <v>44255</v>
      </c>
      <c r="G282" s="13" t="str">
        <f t="shared" si="20"/>
        <v>Sunday</v>
      </c>
      <c r="H282" s="13" t="str">
        <f t="shared" si="21"/>
        <v>February</v>
      </c>
      <c r="I282" s="6">
        <v>9500</v>
      </c>
      <c r="J282" s="6" t="str">
        <f t="shared" si="22"/>
        <v>Recorded</v>
      </c>
      <c r="K282" t="s">
        <v>1916</v>
      </c>
      <c r="L282" t="str">
        <f t="shared" si="24"/>
        <v>Regular</v>
      </c>
      <c r="M282" t="str">
        <f t="shared" si="23"/>
        <v>South Africa</v>
      </c>
    </row>
    <row r="283" spans="1:13" ht="15.75" x14ac:dyDescent="0.3">
      <c r="A283" s="1" t="s">
        <v>1289</v>
      </c>
      <c r="B283" s="1" t="s">
        <v>1732</v>
      </c>
      <c r="C283">
        <v>30</v>
      </c>
      <c r="D283" s="1" t="s">
        <v>8</v>
      </c>
      <c r="E283" s="1" t="s">
        <v>189</v>
      </c>
      <c r="F283" s="13">
        <v>45440</v>
      </c>
      <c r="G283" s="13" t="str">
        <f t="shared" si="20"/>
        <v>Tuesday</v>
      </c>
      <c r="H283" s="13" t="str">
        <f t="shared" si="21"/>
        <v>May</v>
      </c>
      <c r="I283" s="6">
        <v>1500</v>
      </c>
      <c r="J283" s="6" t="str">
        <f t="shared" si="22"/>
        <v>Recorded</v>
      </c>
      <c r="K283" t="s">
        <v>1922</v>
      </c>
      <c r="L283" t="str">
        <f t="shared" si="24"/>
        <v>Regular</v>
      </c>
      <c r="M283" t="str">
        <f t="shared" si="23"/>
        <v>Not Provided</v>
      </c>
    </row>
    <row r="284" spans="1:13" ht="15.75" x14ac:dyDescent="0.3">
      <c r="A284" s="1" t="s">
        <v>1289</v>
      </c>
      <c r="B284" s="1" t="s">
        <v>1732</v>
      </c>
      <c r="C284">
        <v>20</v>
      </c>
      <c r="D284" s="1" t="s">
        <v>8</v>
      </c>
      <c r="E284" s="1" t="s">
        <v>189</v>
      </c>
      <c r="F284" s="13">
        <v>45440</v>
      </c>
      <c r="G284" s="13" t="str">
        <f t="shared" si="20"/>
        <v>Tuesday</v>
      </c>
      <c r="H284" s="13" t="str">
        <f t="shared" si="21"/>
        <v>May</v>
      </c>
      <c r="I284" s="6">
        <v>1500</v>
      </c>
      <c r="J284" s="6" t="str">
        <f t="shared" si="22"/>
        <v>Recorded</v>
      </c>
      <c r="K284" t="s">
        <v>1922</v>
      </c>
      <c r="L284" t="str">
        <f t="shared" si="24"/>
        <v>Regular</v>
      </c>
      <c r="M284" t="str">
        <f t="shared" si="23"/>
        <v>Not Provided</v>
      </c>
    </row>
    <row r="285" spans="1:13" ht="15.75" x14ac:dyDescent="0.3">
      <c r="A285" s="1" t="s">
        <v>1290</v>
      </c>
      <c r="B285" s="1" t="s">
        <v>1733</v>
      </c>
      <c r="C285">
        <v>19</v>
      </c>
      <c r="D285" s="1" t="s">
        <v>5</v>
      </c>
      <c r="E285" s="1" t="s">
        <v>189</v>
      </c>
      <c r="F285" s="13">
        <v>40599</v>
      </c>
      <c r="G285" s="13" t="str">
        <f t="shared" si="20"/>
        <v>Friday</v>
      </c>
      <c r="H285" s="13" t="str">
        <f t="shared" si="21"/>
        <v>February</v>
      </c>
      <c r="I285" s="6">
        <v>1500</v>
      </c>
      <c r="J285" s="6" t="str">
        <f t="shared" si="22"/>
        <v>Recorded</v>
      </c>
      <c r="K285" t="s">
        <v>1922</v>
      </c>
      <c r="L285" t="str">
        <f t="shared" si="24"/>
        <v>Regular</v>
      </c>
      <c r="M285" t="str">
        <f t="shared" si="23"/>
        <v>Not Provided</v>
      </c>
    </row>
    <row r="286" spans="1:13" ht="15.75" x14ac:dyDescent="0.3">
      <c r="A286" s="1" t="s">
        <v>1290</v>
      </c>
      <c r="B286" s="1" t="s">
        <v>1733</v>
      </c>
      <c r="C286">
        <v>20</v>
      </c>
      <c r="D286" s="1" t="s">
        <v>5</v>
      </c>
      <c r="E286" s="1" t="s">
        <v>1915</v>
      </c>
      <c r="F286" s="13">
        <v>40599</v>
      </c>
      <c r="G286" s="13" t="str">
        <f t="shared" si="20"/>
        <v>Friday</v>
      </c>
      <c r="H286" s="13" t="str">
        <f t="shared" si="21"/>
        <v>February</v>
      </c>
      <c r="I286" s="6">
        <v>1500</v>
      </c>
      <c r="J286" s="6" t="str">
        <f t="shared" si="22"/>
        <v>Recorded</v>
      </c>
      <c r="K286" t="s">
        <v>1916</v>
      </c>
      <c r="L286" t="str">
        <f t="shared" si="24"/>
        <v>Regular</v>
      </c>
      <c r="M286" t="str">
        <f t="shared" si="23"/>
        <v>Not Provided</v>
      </c>
    </row>
    <row r="287" spans="1:13" ht="15.75" x14ac:dyDescent="0.3">
      <c r="A287" s="1" t="s">
        <v>1291</v>
      </c>
      <c r="B287" s="1" t="s">
        <v>1734</v>
      </c>
      <c r="C287">
        <v>30</v>
      </c>
      <c r="D287" s="1" t="s">
        <v>8</v>
      </c>
      <c r="E287" s="1" t="s">
        <v>189</v>
      </c>
      <c r="F287" s="13">
        <v>44115</v>
      </c>
      <c r="G287" s="13" t="str">
        <f t="shared" si="20"/>
        <v>Sunday</v>
      </c>
      <c r="H287" s="13" t="str">
        <f t="shared" si="21"/>
        <v>October</v>
      </c>
      <c r="I287" s="6">
        <v>272.81530034096198</v>
      </c>
      <c r="J287" s="6" t="str">
        <f t="shared" si="22"/>
        <v>Recorded</v>
      </c>
      <c r="K287" t="s">
        <v>1917</v>
      </c>
      <c r="L287" t="str">
        <f t="shared" si="24"/>
        <v>Regular</v>
      </c>
      <c r="M287" t="str">
        <f t="shared" si="23"/>
        <v>Lagos</v>
      </c>
    </row>
    <row r="288" spans="1:13" ht="15.75" x14ac:dyDescent="0.3">
      <c r="A288" s="1" t="s">
        <v>1292</v>
      </c>
      <c r="B288" s="1" t="s">
        <v>1735</v>
      </c>
      <c r="C288">
        <v>30</v>
      </c>
      <c r="D288" s="1" t="s">
        <v>5</v>
      </c>
      <c r="E288" s="1" t="s">
        <v>1915</v>
      </c>
      <c r="F288" s="14">
        <v>44428</v>
      </c>
      <c r="G288" s="13" t="str">
        <f t="shared" si="20"/>
        <v>Friday</v>
      </c>
      <c r="H288" s="13" t="str">
        <f t="shared" si="21"/>
        <v>August</v>
      </c>
      <c r="I288" s="6">
        <v>2189.0701284622</v>
      </c>
      <c r="J288" s="6" t="str">
        <f t="shared" si="22"/>
        <v>Recorded</v>
      </c>
      <c r="K288" t="s">
        <v>1917</v>
      </c>
      <c r="L288" t="str">
        <f t="shared" si="24"/>
        <v>Regular</v>
      </c>
      <c r="M288" t="str">
        <f t="shared" si="23"/>
        <v>Lagos</v>
      </c>
    </row>
    <row r="289" spans="1:13" ht="15.75" x14ac:dyDescent="0.3">
      <c r="A289" s="1" t="s">
        <v>1293</v>
      </c>
      <c r="B289" s="1" t="s">
        <v>1736</v>
      </c>
      <c r="C289">
        <v>48</v>
      </c>
      <c r="D289" s="1" t="s">
        <v>8</v>
      </c>
      <c r="E289" s="1" t="s">
        <v>1915</v>
      </c>
      <c r="F289" s="14">
        <v>44037</v>
      </c>
      <c r="G289" s="13" t="str">
        <f t="shared" si="20"/>
        <v>Saturday</v>
      </c>
      <c r="H289" s="13" t="str">
        <f t="shared" si="21"/>
        <v>July</v>
      </c>
      <c r="I289" s="6">
        <v>9500</v>
      </c>
      <c r="J289" s="6" t="str">
        <f t="shared" si="22"/>
        <v>Recorded</v>
      </c>
      <c r="K289" t="s">
        <v>1922</v>
      </c>
      <c r="L289" t="str">
        <f t="shared" si="24"/>
        <v>Regular</v>
      </c>
      <c r="M289" t="str">
        <f t="shared" si="23"/>
        <v>Not Provided</v>
      </c>
    </row>
    <row r="290" spans="1:13" ht="15.75" x14ac:dyDescent="0.3">
      <c r="A290" s="1" t="s">
        <v>1294</v>
      </c>
      <c r="B290" s="1" t="s">
        <v>1737</v>
      </c>
      <c r="C290">
        <v>59</v>
      </c>
      <c r="D290" s="1" t="s">
        <v>5</v>
      </c>
      <c r="E290" s="1" t="s">
        <v>1915</v>
      </c>
      <c r="F290" s="13">
        <v>42808</v>
      </c>
      <c r="G290" s="13" t="str">
        <f t="shared" si="20"/>
        <v>Tuesday</v>
      </c>
      <c r="H290" s="13" t="str">
        <f t="shared" si="21"/>
        <v>March</v>
      </c>
      <c r="I290" s="6">
        <v>283.017642554421</v>
      </c>
      <c r="J290" s="6" t="str">
        <f t="shared" si="22"/>
        <v>Recorded</v>
      </c>
      <c r="K290" t="s">
        <v>1919</v>
      </c>
      <c r="L290" t="str">
        <f t="shared" si="24"/>
        <v>Regular</v>
      </c>
      <c r="M290" t="str">
        <f t="shared" si="23"/>
        <v>Spain</v>
      </c>
    </row>
    <row r="291" spans="1:13" ht="15.75" x14ac:dyDescent="0.3">
      <c r="A291" s="1" t="s">
        <v>1295</v>
      </c>
      <c r="B291" s="1" t="s">
        <v>1738</v>
      </c>
      <c r="C291">
        <v>47</v>
      </c>
      <c r="D291" s="1" t="s">
        <v>8</v>
      </c>
      <c r="E291" s="1" t="s">
        <v>1915</v>
      </c>
      <c r="F291" s="13">
        <v>39432</v>
      </c>
      <c r="G291" s="13" t="str">
        <f t="shared" si="20"/>
        <v>Sunday</v>
      </c>
      <c r="H291" s="13" t="str">
        <f t="shared" si="21"/>
        <v>December</v>
      </c>
      <c r="I291" s="6">
        <v>1500</v>
      </c>
      <c r="J291" s="6" t="str">
        <f t="shared" si="22"/>
        <v>Recorded</v>
      </c>
      <c r="K291" t="s">
        <v>1919</v>
      </c>
      <c r="L291" t="str">
        <f t="shared" si="24"/>
        <v>Regular</v>
      </c>
      <c r="M291" t="str">
        <f t="shared" si="23"/>
        <v>Spain</v>
      </c>
    </row>
    <row r="292" spans="1:13" ht="15.75" x14ac:dyDescent="0.3">
      <c r="A292" s="1" t="s">
        <v>1296</v>
      </c>
      <c r="B292" s="1" t="s">
        <v>1739</v>
      </c>
      <c r="C292">
        <v>30</v>
      </c>
      <c r="D292" s="1" t="s">
        <v>8</v>
      </c>
      <c r="E292" s="1" t="s">
        <v>189</v>
      </c>
      <c r="F292" s="13">
        <v>44132</v>
      </c>
      <c r="G292" s="13" t="str">
        <f t="shared" si="20"/>
        <v>Wednesday</v>
      </c>
      <c r="H292" s="13" t="str">
        <f t="shared" si="21"/>
        <v>October</v>
      </c>
      <c r="I292" s="6">
        <v>10000</v>
      </c>
      <c r="J292" s="6" t="str">
        <f t="shared" si="22"/>
        <v>Recorded</v>
      </c>
      <c r="K292" t="s">
        <v>1922</v>
      </c>
      <c r="L292" t="str">
        <f t="shared" si="24"/>
        <v>Regular</v>
      </c>
      <c r="M292" t="str">
        <f t="shared" si="23"/>
        <v>Not Provided</v>
      </c>
    </row>
    <row r="293" spans="1:13" ht="15.75" x14ac:dyDescent="0.3">
      <c r="A293" s="1" t="s">
        <v>1297</v>
      </c>
      <c r="B293" s="1" t="s">
        <v>1740</v>
      </c>
      <c r="C293">
        <v>18</v>
      </c>
      <c r="D293" s="1" t="s">
        <v>8</v>
      </c>
      <c r="E293" s="1" t="s">
        <v>1915</v>
      </c>
      <c r="F293" s="13">
        <v>41666</v>
      </c>
      <c r="G293" s="13" t="str">
        <f t="shared" si="20"/>
        <v>Monday</v>
      </c>
      <c r="H293" s="13" t="str">
        <f t="shared" si="21"/>
        <v>January</v>
      </c>
      <c r="I293" s="6">
        <v>9500</v>
      </c>
      <c r="J293" s="6" t="str">
        <f t="shared" si="22"/>
        <v>Recorded</v>
      </c>
      <c r="K293" t="s">
        <v>1922</v>
      </c>
      <c r="L293" t="str">
        <f t="shared" si="24"/>
        <v>Regular</v>
      </c>
      <c r="M293" t="str">
        <f t="shared" si="23"/>
        <v>Not Provided</v>
      </c>
    </row>
    <row r="294" spans="1:13" ht="15.75" x14ac:dyDescent="0.3">
      <c r="A294" s="1" t="s">
        <v>1298</v>
      </c>
      <c r="B294" s="1" t="s">
        <v>1741</v>
      </c>
      <c r="C294">
        <v>20</v>
      </c>
      <c r="D294" s="1" t="s">
        <v>5</v>
      </c>
      <c r="E294" s="1" t="s">
        <v>189</v>
      </c>
      <c r="F294" s="13">
        <v>33775</v>
      </c>
      <c r="G294" s="13" t="str">
        <f t="shared" si="20"/>
        <v>Saturday</v>
      </c>
      <c r="H294" s="13" t="str">
        <f t="shared" si="21"/>
        <v>June</v>
      </c>
      <c r="I294" s="6">
        <v>5728.3587570766304</v>
      </c>
      <c r="J294" s="6" t="str">
        <f t="shared" si="22"/>
        <v>Recorded</v>
      </c>
      <c r="K294" t="s">
        <v>1917</v>
      </c>
      <c r="L294" t="str">
        <f t="shared" si="24"/>
        <v>Regular</v>
      </c>
      <c r="M294" t="str">
        <f t="shared" si="23"/>
        <v>Lagos</v>
      </c>
    </row>
    <row r="295" spans="1:13" ht="15.75" x14ac:dyDescent="0.3">
      <c r="A295" s="1" t="s">
        <v>1299</v>
      </c>
      <c r="B295" s="1" t="s">
        <v>1742</v>
      </c>
      <c r="C295">
        <v>30</v>
      </c>
      <c r="D295" s="1" t="s">
        <v>5</v>
      </c>
      <c r="E295" s="1" t="s">
        <v>189</v>
      </c>
      <c r="F295" s="13">
        <v>45628</v>
      </c>
      <c r="G295" s="13" t="str">
        <f t="shared" si="20"/>
        <v>Monday</v>
      </c>
      <c r="H295" s="13" t="str">
        <f t="shared" si="21"/>
        <v>December</v>
      </c>
      <c r="I295" s="6">
        <v>7119.9580914626404</v>
      </c>
      <c r="J295" s="6" t="str">
        <f t="shared" si="22"/>
        <v>Recorded</v>
      </c>
      <c r="K295" t="s">
        <v>1917</v>
      </c>
      <c r="L295" t="str">
        <f t="shared" si="24"/>
        <v>Regular</v>
      </c>
      <c r="M295" t="str">
        <f t="shared" si="23"/>
        <v>Lagos</v>
      </c>
    </row>
    <row r="296" spans="1:13" ht="15.75" x14ac:dyDescent="0.3">
      <c r="A296" s="1" t="s">
        <v>1300</v>
      </c>
      <c r="B296" s="1" t="s">
        <v>1743</v>
      </c>
      <c r="C296">
        <v>68</v>
      </c>
      <c r="D296" s="1" t="s">
        <v>5</v>
      </c>
      <c r="E296" s="1" t="s">
        <v>1915</v>
      </c>
      <c r="F296" s="14">
        <v>43962</v>
      </c>
      <c r="G296" s="13" t="str">
        <f t="shared" si="20"/>
        <v>Monday</v>
      </c>
      <c r="H296" s="13" t="str">
        <f t="shared" si="21"/>
        <v>May</v>
      </c>
      <c r="I296" s="6">
        <v>9500</v>
      </c>
      <c r="J296" s="6" t="str">
        <f t="shared" si="22"/>
        <v>Recorded</v>
      </c>
      <c r="K296" t="s">
        <v>1922</v>
      </c>
      <c r="L296" t="str">
        <f t="shared" si="24"/>
        <v>Regular</v>
      </c>
      <c r="M296" t="str">
        <f t="shared" si="23"/>
        <v>Not Provided</v>
      </c>
    </row>
    <row r="297" spans="1:13" ht="15.75" x14ac:dyDescent="0.3">
      <c r="A297" s="1" t="s">
        <v>1301</v>
      </c>
      <c r="B297" s="1" t="s">
        <v>1744</v>
      </c>
      <c r="C297">
        <v>20</v>
      </c>
      <c r="D297" s="1" t="s">
        <v>8</v>
      </c>
      <c r="E297" s="1" t="s">
        <v>189</v>
      </c>
      <c r="F297" s="13">
        <v>37382</v>
      </c>
      <c r="G297" s="13" t="str">
        <f t="shared" si="20"/>
        <v>Monday</v>
      </c>
      <c r="H297" s="13" t="str">
        <f t="shared" si="21"/>
        <v>May</v>
      </c>
      <c r="I297" s="6">
        <v>50000</v>
      </c>
      <c r="J297" s="6" t="str">
        <f t="shared" si="22"/>
        <v>Recorded</v>
      </c>
      <c r="K297" t="s">
        <v>1919</v>
      </c>
      <c r="L297" t="str">
        <f t="shared" si="24"/>
        <v>High value</v>
      </c>
      <c r="M297" t="str">
        <f t="shared" si="23"/>
        <v>Spain</v>
      </c>
    </row>
    <row r="298" spans="1:13" ht="15.75" x14ac:dyDescent="0.3">
      <c r="A298" s="1" t="s">
        <v>1302</v>
      </c>
      <c r="B298" s="1" t="s">
        <v>1745</v>
      </c>
      <c r="C298">
        <v>20</v>
      </c>
      <c r="D298" s="1" t="s">
        <v>8</v>
      </c>
      <c r="E298" s="1" t="s">
        <v>189</v>
      </c>
      <c r="F298" s="13">
        <v>44743</v>
      </c>
      <c r="G298" s="13" t="str">
        <f t="shared" si="20"/>
        <v>Friday</v>
      </c>
      <c r="H298" s="13" t="str">
        <f t="shared" si="21"/>
        <v>July</v>
      </c>
      <c r="I298" s="6">
        <v>194.76043370859199</v>
      </c>
      <c r="J298" s="6" t="str">
        <f t="shared" si="22"/>
        <v>Recorded</v>
      </c>
      <c r="K298" t="s">
        <v>1922</v>
      </c>
      <c r="L298" t="str">
        <f t="shared" si="24"/>
        <v>Regular</v>
      </c>
      <c r="M298" t="str">
        <f t="shared" si="23"/>
        <v>Not Provided</v>
      </c>
    </row>
    <row r="299" spans="1:13" ht="15.75" x14ac:dyDescent="0.3">
      <c r="A299" s="1" t="s">
        <v>1303</v>
      </c>
      <c r="B299" s="1" t="s">
        <v>1746</v>
      </c>
      <c r="C299">
        <v>20</v>
      </c>
      <c r="D299" s="1" t="s">
        <v>5</v>
      </c>
      <c r="E299" s="1" t="s">
        <v>1915</v>
      </c>
      <c r="F299" s="13">
        <v>42691</v>
      </c>
      <c r="G299" s="13" t="str">
        <f t="shared" si="20"/>
        <v>Thursday</v>
      </c>
      <c r="H299" s="13" t="str">
        <f t="shared" si="21"/>
        <v>November</v>
      </c>
      <c r="I299" s="6">
        <v>1500</v>
      </c>
      <c r="J299" s="6" t="str">
        <f t="shared" si="22"/>
        <v>Recorded</v>
      </c>
      <c r="K299" t="s">
        <v>1922</v>
      </c>
      <c r="L299" t="str">
        <f t="shared" si="24"/>
        <v>Regular</v>
      </c>
      <c r="M299" t="str">
        <f t="shared" si="23"/>
        <v>Not Provided</v>
      </c>
    </row>
    <row r="300" spans="1:13" ht="15.75" x14ac:dyDescent="0.3">
      <c r="A300" s="1" t="s">
        <v>1304</v>
      </c>
      <c r="B300" s="1" t="s">
        <v>1747</v>
      </c>
      <c r="C300">
        <v>43</v>
      </c>
      <c r="D300" s="1" t="s">
        <v>5</v>
      </c>
      <c r="E300" s="1" t="s">
        <v>189</v>
      </c>
      <c r="F300" s="14">
        <v>43554</v>
      </c>
      <c r="G300" s="13" t="str">
        <f t="shared" si="20"/>
        <v>Saturday</v>
      </c>
      <c r="H300" s="13" t="str">
        <f t="shared" si="21"/>
        <v>March</v>
      </c>
      <c r="I300" s="6">
        <v>9500</v>
      </c>
      <c r="J300" s="6" t="str">
        <f t="shared" si="22"/>
        <v>Recorded</v>
      </c>
      <c r="K300" t="s">
        <v>1917</v>
      </c>
      <c r="L300" t="str">
        <f t="shared" si="24"/>
        <v>Regular</v>
      </c>
      <c r="M300" t="str">
        <f t="shared" si="23"/>
        <v>Lagos</v>
      </c>
    </row>
    <row r="301" spans="1:13" ht="15.75" x14ac:dyDescent="0.3">
      <c r="A301" s="1" t="s">
        <v>1305</v>
      </c>
      <c r="B301" s="1" t="s">
        <v>1748</v>
      </c>
      <c r="C301">
        <v>31</v>
      </c>
      <c r="D301" s="1" t="s">
        <v>5</v>
      </c>
      <c r="E301" s="1" t="s">
        <v>189</v>
      </c>
      <c r="F301" s="13">
        <v>45509</v>
      </c>
      <c r="G301" s="13" t="str">
        <f t="shared" si="20"/>
        <v>Monday</v>
      </c>
      <c r="H301" s="13" t="str">
        <f t="shared" si="21"/>
        <v>August</v>
      </c>
      <c r="I301" s="6">
        <v>921.05159041783804</v>
      </c>
      <c r="J301" s="6" t="str">
        <f t="shared" si="22"/>
        <v>Recorded</v>
      </c>
      <c r="K301" t="s">
        <v>1919</v>
      </c>
      <c r="L301" t="str">
        <f t="shared" si="24"/>
        <v>Regular</v>
      </c>
      <c r="M301" t="str">
        <f t="shared" si="23"/>
        <v>Spain</v>
      </c>
    </row>
    <row r="302" spans="1:13" ht="15.75" x14ac:dyDescent="0.3">
      <c r="A302" s="1" t="s">
        <v>1306</v>
      </c>
      <c r="B302" s="1" t="s">
        <v>1749</v>
      </c>
      <c r="C302">
        <v>30</v>
      </c>
      <c r="D302" s="1" t="s">
        <v>8</v>
      </c>
      <c r="E302" s="1" t="s">
        <v>189</v>
      </c>
      <c r="F302" s="13">
        <v>41654</v>
      </c>
      <c r="G302" s="13" t="str">
        <f t="shared" si="20"/>
        <v>Wednesday</v>
      </c>
      <c r="H302" s="13" t="str">
        <f t="shared" si="21"/>
        <v>January</v>
      </c>
      <c r="I302" s="6">
        <v>90</v>
      </c>
      <c r="J302" s="6" t="str">
        <f t="shared" si="22"/>
        <v>Recorded</v>
      </c>
      <c r="K302" t="s">
        <v>1917</v>
      </c>
      <c r="L302" t="str">
        <f t="shared" si="24"/>
        <v>Regular</v>
      </c>
      <c r="M302" t="str">
        <f t="shared" si="23"/>
        <v>Lagos</v>
      </c>
    </row>
    <row r="303" spans="1:13" ht="15.75" x14ac:dyDescent="0.3">
      <c r="A303" s="1" t="s">
        <v>1307</v>
      </c>
      <c r="B303" s="1" t="s">
        <v>1750</v>
      </c>
      <c r="C303">
        <v>30</v>
      </c>
      <c r="D303" s="1" t="s">
        <v>5</v>
      </c>
      <c r="E303" s="1" t="s">
        <v>1915</v>
      </c>
      <c r="F303" s="14">
        <v>44168</v>
      </c>
      <c r="G303" s="13" t="str">
        <f t="shared" si="20"/>
        <v>Thursday</v>
      </c>
      <c r="H303" s="13" t="str">
        <f t="shared" si="21"/>
        <v>December</v>
      </c>
      <c r="I303" s="6">
        <v>9500</v>
      </c>
      <c r="J303" s="6" t="str">
        <f t="shared" si="22"/>
        <v>Recorded</v>
      </c>
      <c r="K303" t="s">
        <v>1918</v>
      </c>
      <c r="L303" t="str">
        <f t="shared" si="24"/>
        <v>Regular</v>
      </c>
      <c r="M303" t="str">
        <f t="shared" si="23"/>
        <v>India</v>
      </c>
    </row>
    <row r="304" spans="1:13" ht="15.75" x14ac:dyDescent="0.3">
      <c r="A304" s="1" t="s">
        <v>1308</v>
      </c>
      <c r="B304" s="1" t="s">
        <v>1751</v>
      </c>
      <c r="C304">
        <v>38</v>
      </c>
      <c r="D304" s="1" t="s">
        <v>5</v>
      </c>
      <c r="E304" s="1" t="s">
        <v>1915</v>
      </c>
      <c r="F304" s="13">
        <v>37735</v>
      </c>
      <c r="G304" s="13" t="str">
        <f t="shared" si="20"/>
        <v>Thursday</v>
      </c>
      <c r="H304" s="13" t="str">
        <f t="shared" si="21"/>
        <v>April</v>
      </c>
      <c r="I304" s="6">
        <v>2368.6366242868098</v>
      </c>
      <c r="J304" s="6" t="str">
        <f t="shared" si="22"/>
        <v>Recorded</v>
      </c>
      <c r="K304" t="s">
        <v>1922</v>
      </c>
      <c r="L304" t="str">
        <f t="shared" si="24"/>
        <v>Regular</v>
      </c>
      <c r="M304" t="str">
        <f t="shared" si="23"/>
        <v>Not Provided</v>
      </c>
    </row>
    <row r="305" spans="1:13" ht="15.75" x14ac:dyDescent="0.3">
      <c r="A305" s="1" t="s">
        <v>1309</v>
      </c>
      <c r="B305" s="1" t="s">
        <v>1752</v>
      </c>
      <c r="C305">
        <v>30</v>
      </c>
      <c r="D305" s="1" t="s">
        <v>5</v>
      </c>
      <c r="E305" s="1" t="s">
        <v>1915</v>
      </c>
      <c r="F305" s="13">
        <v>45374</v>
      </c>
      <c r="G305" s="13" t="str">
        <f t="shared" si="20"/>
        <v>Saturday</v>
      </c>
      <c r="H305" s="13" t="str">
        <f t="shared" si="21"/>
        <v>March</v>
      </c>
      <c r="I305" s="6">
        <v>321.13619824797001</v>
      </c>
      <c r="J305" s="6" t="str">
        <f t="shared" si="22"/>
        <v>Recorded</v>
      </c>
      <c r="K305" t="s">
        <v>1919</v>
      </c>
      <c r="L305" t="str">
        <f t="shared" si="24"/>
        <v>Regular</v>
      </c>
      <c r="M305" t="str">
        <f t="shared" si="23"/>
        <v>Spain</v>
      </c>
    </row>
    <row r="306" spans="1:13" ht="15.75" x14ac:dyDescent="0.3">
      <c r="A306" s="1" t="s">
        <v>1310</v>
      </c>
      <c r="B306" s="1" t="s">
        <v>1753</v>
      </c>
      <c r="C306">
        <v>20</v>
      </c>
      <c r="D306" s="1" t="s">
        <v>5</v>
      </c>
      <c r="E306" s="1" t="s">
        <v>189</v>
      </c>
      <c r="F306" s="13">
        <v>45410</v>
      </c>
      <c r="G306" s="13" t="str">
        <f t="shared" si="20"/>
        <v>Sunday</v>
      </c>
      <c r="H306" s="13" t="str">
        <f t="shared" si="21"/>
        <v>April</v>
      </c>
      <c r="I306" s="6">
        <v>656.41320432561895</v>
      </c>
      <c r="J306" s="6" t="str">
        <f t="shared" si="22"/>
        <v>Recorded</v>
      </c>
      <c r="K306" t="s">
        <v>1919</v>
      </c>
      <c r="L306" t="str">
        <f t="shared" si="24"/>
        <v>Regular</v>
      </c>
      <c r="M306" t="str">
        <f t="shared" si="23"/>
        <v>Spain</v>
      </c>
    </row>
    <row r="307" spans="1:13" ht="15.75" x14ac:dyDescent="0.3">
      <c r="A307" s="1" t="s">
        <v>1311</v>
      </c>
      <c r="B307" s="1" t="s">
        <v>1754</v>
      </c>
      <c r="C307">
        <v>20</v>
      </c>
      <c r="D307" s="1" t="s">
        <v>8</v>
      </c>
      <c r="E307" s="1" t="s">
        <v>189</v>
      </c>
      <c r="F307" s="13">
        <v>44993</v>
      </c>
      <c r="G307" s="13" t="str">
        <f t="shared" si="20"/>
        <v>Wednesday</v>
      </c>
      <c r="H307" s="13" t="str">
        <f t="shared" si="21"/>
        <v>March</v>
      </c>
      <c r="I307" s="6">
        <v>1500</v>
      </c>
      <c r="J307" s="6" t="str">
        <f t="shared" si="22"/>
        <v>Recorded</v>
      </c>
      <c r="K307" t="s">
        <v>1917</v>
      </c>
      <c r="L307" t="str">
        <f t="shared" si="24"/>
        <v>Regular</v>
      </c>
      <c r="M307" t="str">
        <f t="shared" si="23"/>
        <v>Lagos</v>
      </c>
    </row>
    <row r="308" spans="1:13" ht="15.75" x14ac:dyDescent="0.3">
      <c r="A308" s="1" t="s">
        <v>1312</v>
      </c>
      <c r="B308" s="1" t="s">
        <v>1755</v>
      </c>
      <c r="C308">
        <v>25</v>
      </c>
      <c r="D308" s="1" t="s">
        <v>5</v>
      </c>
      <c r="E308" s="1" t="s">
        <v>189</v>
      </c>
      <c r="F308" s="13">
        <v>42589</v>
      </c>
      <c r="G308" s="13" t="str">
        <f t="shared" si="20"/>
        <v>Sunday</v>
      </c>
      <c r="H308" s="13" t="str">
        <f t="shared" si="21"/>
        <v>August</v>
      </c>
      <c r="I308" s="6">
        <v>1737.93385616602</v>
      </c>
      <c r="J308" s="6" t="str">
        <f t="shared" si="22"/>
        <v>Recorded</v>
      </c>
      <c r="K308" t="s">
        <v>1917</v>
      </c>
      <c r="L308" t="str">
        <f t="shared" si="24"/>
        <v>Regular</v>
      </c>
      <c r="M308" t="str">
        <f t="shared" si="23"/>
        <v>Lagos</v>
      </c>
    </row>
    <row r="309" spans="1:13" ht="15.75" x14ac:dyDescent="0.3">
      <c r="A309" s="1" t="s">
        <v>1313</v>
      </c>
      <c r="B309" s="1" t="s">
        <v>1756</v>
      </c>
      <c r="C309">
        <v>20</v>
      </c>
      <c r="D309" s="1" t="s">
        <v>5</v>
      </c>
      <c r="E309" s="1" t="s">
        <v>189</v>
      </c>
      <c r="F309" s="14">
        <v>44037</v>
      </c>
      <c r="G309" s="13" t="str">
        <f t="shared" si="20"/>
        <v>Saturday</v>
      </c>
      <c r="H309" s="13" t="str">
        <f t="shared" si="21"/>
        <v>July</v>
      </c>
      <c r="I309" s="6">
        <v>8477.6607156913797</v>
      </c>
      <c r="J309" s="6" t="str">
        <f t="shared" si="22"/>
        <v>Recorded</v>
      </c>
      <c r="K309" t="s">
        <v>1919</v>
      </c>
      <c r="L309" t="str">
        <f t="shared" si="24"/>
        <v>Regular</v>
      </c>
      <c r="M309" t="str">
        <f t="shared" si="23"/>
        <v>Spain</v>
      </c>
    </row>
    <row r="310" spans="1:13" ht="15.75" x14ac:dyDescent="0.3">
      <c r="A310" s="1" t="s">
        <v>1314</v>
      </c>
      <c r="B310" s="1" t="s">
        <v>1757</v>
      </c>
      <c r="C310">
        <v>20</v>
      </c>
      <c r="D310" s="1" t="s">
        <v>8</v>
      </c>
      <c r="E310" s="1" t="s">
        <v>1915</v>
      </c>
      <c r="F310" s="14">
        <v>43415</v>
      </c>
      <c r="G310" s="13" t="str">
        <f t="shared" si="20"/>
        <v>Sunday</v>
      </c>
      <c r="H310" s="13" t="str">
        <f t="shared" si="21"/>
        <v>November</v>
      </c>
      <c r="I310" s="6">
        <v>1500</v>
      </c>
      <c r="J310" s="6" t="str">
        <f t="shared" si="22"/>
        <v>Recorded</v>
      </c>
      <c r="K310" t="s">
        <v>1922</v>
      </c>
      <c r="L310" t="str">
        <f t="shared" si="24"/>
        <v>Regular</v>
      </c>
      <c r="M310" t="str">
        <f t="shared" si="23"/>
        <v>Not Provided</v>
      </c>
    </row>
    <row r="311" spans="1:13" ht="15.75" x14ac:dyDescent="0.3">
      <c r="A311" s="1" t="s">
        <v>1315</v>
      </c>
      <c r="B311" s="1" t="s">
        <v>1758</v>
      </c>
      <c r="C311">
        <v>30</v>
      </c>
      <c r="D311" s="1" t="s">
        <v>70</v>
      </c>
      <c r="E311" s="1" t="s">
        <v>189</v>
      </c>
      <c r="F311" s="13">
        <v>42450</v>
      </c>
      <c r="G311" s="13" t="str">
        <f t="shared" si="20"/>
        <v>Monday</v>
      </c>
      <c r="H311" s="13" t="str">
        <f t="shared" si="21"/>
        <v>March</v>
      </c>
      <c r="I311" s="6">
        <v>144.61121434189499</v>
      </c>
      <c r="J311" s="6" t="str">
        <f t="shared" si="22"/>
        <v>Recorded</v>
      </c>
      <c r="K311" t="s">
        <v>1922</v>
      </c>
      <c r="L311" t="str">
        <f t="shared" si="24"/>
        <v>Regular</v>
      </c>
      <c r="M311" t="str">
        <f t="shared" si="23"/>
        <v>Not Provided</v>
      </c>
    </row>
    <row r="312" spans="1:13" ht="15.75" x14ac:dyDescent="0.3">
      <c r="A312" s="1" t="s">
        <v>1316</v>
      </c>
      <c r="B312" s="1" t="s">
        <v>1759</v>
      </c>
      <c r="C312">
        <v>25</v>
      </c>
      <c r="D312" s="1" t="s">
        <v>5</v>
      </c>
      <c r="E312" s="1" t="s">
        <v>189</v>
      </c>
      <c r="F312" s="14">
        <v>44316</v>
      </c>
      <c r="G312" s="13" t="str">
        <f t="shared" si="20"/>
        <v>Friday</v>
      </c>
      <c r="H312" s="13" t="str">
        <f t="shared" si="21"/>
        <v>April</v>
      </c>
      <c r="I312" s="6"/>
      <c r="J312" s="6" t="str">
        <f t="shared" si="22"/>
        <v>Not Recorded</v>
      </c>
      <c r="K312" t="s">
        <v>1922</v>
      </c>
      <c r="L312" t="str">
        <f t="shared" si="24"/>
        <v>Regular</v>
      </c>
      <c r="M312" t="str">
        <f t="shared" si="23"/>
        <v>Not Provided</v>
      </c>
    </row>
    <row r="313" spans="1:13" ht="15.75" x14ac:dyDescent="0.3">
      <c r="A313" s="1" t="s">
        <v>1317</v>
      </c>
      <c r="B313" s="1" t="s">
        <v>1760</v>
      </c>
      <c r="C313">
        <v>30</v>
      </c>
      <c r="D313" s="1" t="s">
        <v>5</v>
      </c>
      <c r="E313" s="1" t="s">
        <v>189</v>
      </c>
      <c r="F313" s="13">
        <v>41176</v>
      </c>
      <c r="G313" s="13" t="str">
        <f t="shared" si="20"/>
        <v>Monday</v>
      </c>
      <c r="H313" s="13" t="str">
        <f t="shared" si="21"/>
        <v>September</v>
      </c>
      <c r="I313" s="6">
        <v>6540</v>
      </c>
      <c r="J313" s="6" t="str">
        <f t="shared" si="22"/>
        <v>Recorded</v>
      </c>
      <c r="K313" t="s">
        <v>1917</v>
      </c>
      <c r="L313" t="str">
        <f t="shared" si="24"/>
        <v>Regular</v>
      </c>
      <c r="M313" t="str">
        <f t="shared" si="23"/>
        <v>Lagos</v>
      </c>
    </row>
    <row r="314" spans="1:13" ht="15.75" x14ac:dyDescent="0.3">
      <c r="A314" s="1" t="s">
        <v>1318</v>
      </c>
      <c r="B314" s="1" t="s">
        <v>1761</v>
      </c>
      <c r="C314">
        <v>30</v>
      </c>
      <c r="D314" s="1" t="s">
        <v>8</v>
      </c>
      <c r="E314" s="1" t="s">
        <v>1915</v>
      </c>
      <c r="F314" s="13">
        <v>41512</v>
      </c>
      <c r="G314" s="13" t="str">
        <f t="shared" si="20"/>
        <v>Monday</v>
      </c>
      <c r="H314" s="13" t="str">
        <f t="shared" si="21"/>
        <v>August</v>
      </c>
      <c r="I314" s="6">
        <v>120.62753324200899</v>
      </c>
      <c r="J314" s="6" t="str">
        <f t="shared" si="22"/>
        <v>Recorded</v>
      </c>
      <c r="K314" t="s">
        <v>1922</v>
      </c>
      <c r="L314" t="str">
        <f t="shared" si="24"/>
        <v>Regular</v>
      </c>
      <c r="M314" t="str">
        <f t="shared" si="23"/>
        <v>Not Provided</v>
      </c>
    </row>
    <row r="315" spans="1:13" ht="15.75" x14ac:dyDescent="0.3">
      <c r="A315" s="1" t="s">
        <v>1319</v>
      </c>
      <c r="B315" s="1" t="s">
        <v>1762</v>
      </c>
      <c r="C315">
        <v>36</v>
      </c>
      <c r="D315" s="1" t="s">
        <v>8</v>
      </c>
      <c r="E315" s="1" t="s">
        <v>189</v>
      </c>
      <c r="F315" s="14">
        <v>44033</v>
      </c>
      <c r="G315" s="13" t="str">
        <f t="shared" si="20"/>
        <v>Tuesday</v>
      </c>
      <c r="H315" s="13" t="str">
        <f t="shared" si="21"/>
        <v>July</v>
      </c>
      <c r="I315" s="6">
        <v>1500</v>
      </c>
      <c r="J315" s="6" t="str">
        <f t="shared" si="22"/>
        <v>Recorded</v>
      </c>
      <c r="K315" t="s">
        <v>1922</v>
      </c>
      <c r="L315" t="str">
        <f t="shared" si="24"/>
        <v>Regular</v>
      </c>
      <c r="M315" t="str">
        <f t="shared" si="23"/>
        <v>Not Provided</v>
      </c>
    </row>
    <row r="316" spans="1:13" ht="15.75" x14ac:dyDescent="0.3">
      <c r="A316" s="1" t="s">
        <v>1320</v>
      </c>
      <c r="B316" s="1" t="s">
        <v>1763</v>
      </c>
      <c r="C316">
        <v>50</v>
      </c>
      <c r="D316" s="1" t="s">
        <v>5</v>
      </c>
      <c r="E316" s="1" t="s">
        <v>189</v>
      </c>
      <c r="F316" s="14">
        <v>44168</v>
      </c>
      <c r="G316" s="13" t="str">
        <f t="shared" si="20"/>
        <v>Thursday</v>
      </c>
      <c r="H316" s="13" t="str">
        <f t="shared" si="21"/>
        <v>December</v>
      </c>
      <c r="I316" s="6">
        <v>9500</v>
      </c>
      <c r="J316" s="6" t="str">
        <f t="shared" si="22"/>
        <v>Recorded</v>
      </c>
      <c r="K316" t="s">
        <v>1922</v>
      </c>
      <c r="L316" t="str">
        <f t="shared" si="24"/>
        <v>Regular</v>
      </c>
      <c r="M316" t="str">
        <f t="shared" si="23"/>
        <v>Not Provided</v>
      </c>
    </row>
    <row r="317" spans="1:13" ht="15.75" x14ac:dyDescent="0.3">
      <c r="A317" s="1" t="s">
        <v>1321</v>
      </c>
      <c r="B317" s="1" t="s">
        <v>1764</v>
      </c>
      <c r="C317">
        <v>20</v>
      </c>
      <c r="D317" s="1" t="s">
        <v>8</v>
      </c>
      <c r="E317" s="1" t="s">
        <v>1915</v>
      </c>
      <c r="F317" s="13">
        <v>37475</v>
      </c>
      <c r="G317" s="13" t="str">
        <f t="shared" si="20"/>
        <v>Wednesday</v>
      </c>
      <c r="H317" s="13" t="str">
        <f t="shared" si="21"/>
        <v>August</v>
      </c>
      <c r="I317" s="6">
        <v>95000</v>
      </c>
      <c r="J317" s="6" t="str">
        <f t="shared" si="22"/>
        <v>Recorded</v>
      </c>
      <c r="K317" t="s">
        <v>1917</v>
      </c>
      <c r="L317" t="str">
        <f t="shared" si="24"/>
        <v>High value</v>
      </c>
      <c r="M317" t="str">
        <f t="shared" si="23"/>
        <v>Lagos</v>
      </c>
    </row>
    <row r="318" spans="1:13" ht="15.75" x14ac:dyDescent="0.3">
      <c r="A318" s="1" t="s">
        <v>1322</v>
      </c>
      <c r="B318" s="1" t="s">
        <v>1765</v>
      </c>
      <c r="C318">
        <v>20</v>
      </c>
      <c r="D318" s="1" t="s">
        <v>5</v>
      </c>
      <c r="E318" s="1" t="s">
        <v>189</v>
      </c>
      <c r="F318" s="13">
        <v>45542</v>
      </c>
      <c r="G318" s="13" t="str">
        <f t="shared" si="20"/>
        <v>Saturday</v>
      </c>
      <c r="H318" s="13" t="str">
        <f t="shared" si="21"/>
        <v>September</v>
      </c>
      <c r="I318" s="6">
        <v>9500</v>
      </c>
      <c r="J318" s="6" t="str">
        <f t="shared" si="22"/>
        <v>Recorded</v>
      </c>
      <c r="K318" t="s">
        <v>1918</v>
      </c>
      <c r="L318" t="str">
        <f t="shared" si="24"/>
        <v>Regular</v>
      </c>
      <c r="M318" t="str">
        <f t="shared" si="23"/>
        <v>India</v>
      </c>
    </row>
    <row r="319" spans="1:13" ht="15.75" x14ac:dyDescent="0.3">
      <c r="A319" s="1" t="s">
        <v>1323</v>
      </c>
      <c r="B319" s="1" t="s">
        <v>1766</v>
      </c>
      <c r="C319">
        <v>45</v>
      </c>
      <c r="D319" s="1" t="s">
        <v>5</v>
      </c>
      <c r="E319" s="1" t="s">
        <v>1915</v>
      </c>
      <c r="F319" s="13">
        <v>31560</v>
      </c>
      <c r="G319" s="13" t="str">
        <f t="shared" si="20"/>
        <v>Wednesday</v>
      </c>
      <c r="H319" s="13" t="str">
        <f t="shared" si="21"/>
        <v>May</v>
      </c>
      <c r="I319" s="6">
        <v>8786.5886832576198</v>
      </c>
      <c r="J319" s="6" t="str">
        <f t="shared" si="22"/>
        <v>Recorded</v>
      </c>
      <c r="K319" t="s">
        <v>1922</v>
      </c>
      <c r="L319" t="str">
        <f t="shared" si="24"/>
        <v>Regular</v>
      </c>
      <c r="M319" t="str">
        <f t="shared" si="23"/>
        <v>Not Provided</v>
      </c>
    </row>
    <row r="320" spans="1:13" ht="15.75" x14ac:dyDescent="0.3">
      <c r="A320" s="1" t="s">
        <v>1324</v>
      </c>
      <c r="B320" s="1" t="s">
        <v>1767</v>
      </c>
      <c r="C320">
        <v>20</v>
      </c>
      <c r="D320" s="1" t="s">
        <v>5</v>
      </c>
      <c r="E320" s="1" t="s">
        <v>1915</v>
      </c>
      <c r="F320" s="14">
        <v>43665</v>
      </c>
      <c r="G320" s="13" t="str">
        <f t="shared" si="20"/>
        <v>Friday</v>
      </c>
      <c r="H320" s="13" t="str">
        <f t="shared" si="21"/>
        <v>July</v>
      </c>
      <c r="I320" s="6">
        <v>56000</v>
      </c>
      <c r="J320" s="6" t="str">
        <f t="shared" si="22"/>
        <v>Recorded</v>
      </c>
      <c r="K320" t="s">
        <v>1922</v>
      </c>
      <c r="L320" t="str">
        <f t="shared" si="24"/>
        <v>High value</v>
      </c>
      <c r="M320" t="str">
        <f t="shared" si="23"/>
        <v>Not Provided</v>
      </c>
    </row>
    <row r="321" spans="1:13" ht="15.75" x14ac:dyDescent="0.3">
      <c r="A321" s="1" t="s">
        <v>1325</v>
      </c>
      <c r="B321" s="1" t="s">
        <v>1768</v>
      </c>
      <c r="C321">
        <v>20</v>
      </c>
      <c r="D321" s="1" t="s">
        <v>8</v>
      </c>
      <c r="E321" s="1" t="s">
        <v>1915</v>
      </c>
      <c r="F321" s="13">
        <v>42626</v>
      </c>
      <c r="G321" s="13" t="str">
        <f t="shared" si="20"/>
        <v>Tuesday</v>
      </c>
      <c r="H321" s="13" t="str">
        <f t="shared" si="21"/>
        <v>September</v>
      </c>
      <c r="I321" s="6">
        <v>4211.7216071495504</v>
      </c>
      <c r="J321" s="6" t="str">
        <f t="shared" si="22"/>
        <v>Recorded</v>
      </c>
      <c r="K321" t="s">
        <v>1919</v>
      </c>
      <c r="L321" t="str">
        <f t="shared" si="24"/>
        <v>Regular</v>
      </c>
      <c r="M321" t="str">
        <f t="shared" si="23"/>
        <v>Spain</v>
      </c>
    </row>
    <row r="322" spans="1:13" ht="15.75" x14ac:dyDescent="0.3">
      <c r="A322" s="1" t="s">
        <v>1326</v>
      </c>
      <c r="B322" s="1" t="s">
        <v>1769</v>
      </c>
      <c r="C322">
        <v>69</v>
      </c>
      <c r="D322" s="1" t="s">
        <v>8</v>
      </c>
      <c r="E322" s="1" t="s">
        <v>189</v>
      </c>
      <c r="F322" s="13">
        <v>44828</v>
      </c>
      <c r="G322" s="13" t="str">
        <f t="shared" si="20"/>
        <v>Saturday</v>
      </c>
      <c r="H322" s="13" t="str">
        <f t="shared" si="21"/>
        <v>September</v>
      </c>
      <c r="I322" s="6">
        <v>9500</v>
      </c>
      <c r="J322" s="6" t="str">
        <f t="shared" si="22"/>
        <v>Recorded</v>
      </c>
      <c r="K322" t="s">
        <v>1919</v>
      </c>
      <c r="L322" t="str">
        <f t="shared" si="24"/>
        <v>Regular</v>
      </c>
      <c r="M322" t="str">
        <f t="shared" si="23"/>
        <v>Spain</v>
      </c>
    </row>
    <row r="323" spans="1:13" ht="15.75" x14ac:dyDescent="0.3">
      <c r="A323" s="1" t="s">
        <v>1327</v>
      </c>
      <c r="B323" s="1" t="s">
        <v>1770</v>
      </c>
      <c r="C323">
        <v>22</v>
      </c>
      <c r="D323" s="1" t="s">
        <v>5</v>
      </c>
      <c r="E323" s="1" t="s">
        <v>1915</v>
      </c>
      <c r="F323" s="14">
        <v>44037</v>
      </c>
      <c r="G323" s="13" t="str">
        <f t="shared" ref="G323:G386" si="25">TEXT(F323,"DDDD")</f>
        <v>Saturday</v>
      </c>
      <c r="H323" s="13" t="str">
        <f t="shared" ref="H323:H386" si="26">TEXT(F323,"MMMM")</f>
        <v>July</v>
      </c>
      <c r="I323" s="6">
        <v>773.42060851468204</v>
      </c>
      <c r="J323" s="6" t="str">
        <f t="shared" ref="J323:J386" si="27">IF(LEN(TRIM(I323))=0,"Not Recorded","Recorded")</f>
        <v>Recorded</v>
      </c>
      <c r="K323" t="s">
        <v>1917</v>
      </c>
      <c r="L323" t="str">
        <f t="shared" si="24"/>
        <v>Regular</v>
      </c>
      <c r="M323" t="str">
        <f t="shared" ref="M323:M386" si="28">_xlfn.XLOOKUP(A323,A:A,K:K,"Not Provided",0)</f>
        <v>Lagos</v>
      </c>
    </row>
    <row r="324" spans="1:13" ht="15.75" x14ac:dyDescent="0.3">
      <c r="A324" s="1" t="s">
        <v>1328</v>
      </c>
      <c r="B324" s="1" t="s">
        <v>1771</v>
      </c>
      <c r="C324">
        <v>30</v>
      </c>
      <c r="D324" s="1" t="s">
        <v>8</v>
      </c>
      <c r="E324" s="1" t="s">
        <v>189</v>
      </c>
      <c r="F324" s="13">
        <v>45419</v>
      </c>
      <c r="G324" s="13" t="str">
        <f t="shared" si="25"/>
        <v>Tuesday</v>
      </c>
      <c r="H324" s="13" t="str">
        <f t="shared" si="26"/>
        <v>May</v>
      </c>
      <c r="I324" s="6">
        <v>7379.4751912537204</v>
      </c>
      <c r="J324" s="6" t="str">
        <f t="shared" si="27"/>
        <v>Recorded</v>
      </c>
      <c r="K324" t="s">
        <v>1917</v>
      </c>
      <c r="L324" t="str">
        <f t="shared" ref="L324:L387" si="29">IF(I324&gt;10000,"High value","Regular")</f>
        <v>Regular</v>
      </c>
      <c r="M324" t="str">
        <f t="shared" si="28"/>
        <v>Lagos</v>
      </c>
    </row>
    <row r="325" spans="1:13" ht="15.75" x14ac:dyDescent="0.3">
      <c r="A325" s="1" t="s">
        <v>1329</v>
      </c>
      <c r="B325" s="1" t="s">
        <v>1772</v>
      </c>
      <c r="C325">
        <v>30</v>
      </c>
      <c r="D325" s="1" t="s">
        <v>5</v>
      </c>
      <c r="E325" s="1" t="s">
        <v>189</v>
      </c>
      <c r="F325" s="13">
        <v>27505</v>
      </c>
      <c r="G325" s="13" t="str">
        <f t="shared" si="25"/>
        <v>Monday</v>
      </c>
      <c r="H325" s="13" t="str">
        <f t="shared" si="26"/>
        <v>April</v>
      </c>
      <c r="I325" s="6">
        <v>9500</v>
      </c>
      <c r="J325" s="6" t="str">
        <f t="shared" si="27"/>
        <v>Recorded</v>
      </c>
      <c r="K325" t="s">
        <v>1916</v>
      </c>
      <c r="L325" t="str">
        <f t="shared" si="29"/>
        <v>Regular</v>
      </c>
      <c r="M325" t="str">
        <f t="shared" si="28"/>
        <v>South Africa</v>
      </c>
    </row>
    <row r="326" spans="1:13" ht="15.75" x14ac:dyDescent="0.3">
      <c r="A326" s="1" t="s">
        <v>1330</v>
      </c>
      <c r="B326" s="1" t="s">
        <v>1773</v>
      </c>
      <c r="C326">
        <v>30</v>
      </c>
      <c r="D326" s="1" t="s">
        <v>8</v>
      </c>
      <c r="E326" s="1" t="s">
        <v>1915</v>
      </c>
      <c r="F326" s="13">
        <v>45489</v>
      </c>
      <c r="G326" s="13" t="str">
        <f t="shared" si="25"/>
        <v>Tuesday</v>
      </c>
      <c r="H326" s="13" t="str">
        <f t="shared" si="26"/>
        <v>July</v>
      </c>
      <c r="I326" s="6">
        <v>4792.56563771321</v>
      </c>
      <c r="J326" s="6" t="str">
        <f t="shared" si="27"/>
        <v>Recorded</v>
      </c>
      <c r="K326" t="s">
        <v>1916</v>
      </c>
      <c r="L326" t="str">
        <f t="shared" si="29"/>
        <v>Regular</v>
      </c>
      <c r="M326" t="str">
        <f t="shared" si="28"/>
        <v>South Africa</v>
      </c>
    </row>
    <row r="327" spans="1:13" ht="15.75" x14ac:dyDescent="0.3">
      <c r="A327" s="1" t="s">
        <v>1331</v>
      </c>
      <c r="B327" s="1" t="s">
        <v>1774</v>
      </c>
      <c r="C327">
        <v>20</v>
      </c>
      <c r="D327" s="1" t="s">
        <v>8</v>
      </c>
      <c r="E327" s="1" t="s">
        <v>189</v>
      </c>
      <c r="F327" s="13">
        <v>45345</v>
      </c>
      <c r="G327" s="13" t="str">
        <f t="shared" si="25"/>
        <v>Friday</v>
      </c>
      <c r="H327" s="13" t="str">
        <f t="shared" si="26"/>
        <v>February</v>
      </c>
      <c r="I327" s="6">
        <v>9500</v>
      </c>
      <c r="J327" s="6" t="str">
        <f t="shared" si="27"/>
        <v>Recorded</v>
      </c>
      <c r="K327" t="s">
        <v>1918</v>
      </c>
      <c r="L327" t="str">
        <f t="shared" si="29"/>
        <v>Regular</v>
      </c>
      <c r="M327" t="str">
        <f t="shared" si="28"/>
        <v>India</v>
      </c>
    </row>
    <row r="328" spans="1:13" ht="15.75" x14ac:dyDescent="0.3">
      <c r="A328" s="1" t="s">
        <v>1332</v>
      </c>
      <c r="B328" s="1" t="s">
        <v>1775</v>
      </c>
      <c r="C328">
        <v>30</v>
      </c>
      <c r="D328" s="1" t="s">
        <v>8</v>
      </c>
      <c r="E328" s="1" t="s">
        <v>1915</v>
      </c>
      <c r="F328" s="13">
        <v>45456</v>
      </c>
      <c r="G328" s="13" t="str">
        <f t="shared" si="25"/>
        <v>Thursday</v>
      </c>
      <c r="H328" s="13" t="str">
        <f t="shared" si="26"/>
        <v>June</v>
      </c>
      <c r="I328" s="6">
        <v>1678.0982450407901</v>
      </c>
      <c r="J328" s="6" t="str">
        <f t="shared" si="27"/>
        <v>Recorded</v>
      </c>
      <c r="K328" t="s">
        <v>1916</v>
      </c>
      <c r="L328" t="str">
        <f t="shared" si="29"/>
        <v>Regular</v>
      </c>
      <c r="M328" t="str">
        <f t="shared" si="28"/>
        <v>South Africa</v>
      </c>
    </row>
    <row r="329" spans="1:13" ht="15.75" x14ac:dyDescent="0.3">
      <c r="A329" s="1" t="s">
        <v>1333</v>
      </c>
      <c r="B329" s="1" t="s">
        <v>1776</v>
      </c>
      <c r="C329">
        <v>30</v>
      </c>
      <c r="D329" s="1" t="s">
        <v>5</v>
      </c>
      <c r="E329" s="1" t="s">
        <v>1915</v>
      </c>
      <c r="F329" s="14">
        <v>44509</v>
      </c>
      <c r="G329" s="13" t="str">
        <f t="shared" si="25"/>
        <v>Tuesday</v>
      </c>
      <c r="H329" s="13" t="str">
        <f t="shared" si="26"/>
        <v>November</v>
      </c>
      <c r="I329" s="6">
        <v>2282.4949048252702</v>
      </c>
      <c r="J329" s="6" t="str">
        <f t="shared" si="27"/>
        <v>Recorded</v>
      </c>
      <c r="K329" t="s">
        <v>1918</v>
      </c>
      <c r="L329" t="str">
        <f t="shared" si="29"/>
        <v>Regular</v>
      </c>
      <c r="M329" t="str">
        <f t="shared" si="28"/>
        <v>India</v>
      </c>
    </row>
    <row r="330" spans="1:13" ht="15.75" x14ac:dyDescent="0.3">
      <c r="A330" s="1" t="s">
        <v>1334</v>
      </c>
      <c r="B330" s="1" t="s">
        <v>1777</v>
      </c>
      <c r="C330">
        <v>20</v>
      </c>
      <c r="D330" s="1" t="s">
        <v>8</v>
      </c>
      <c r="E330" s="1" t="s">
        <v>1915</v>
      </c>
      <c r="F330" s="13">
        <v>26104</v>
      </c>
      <c r="G330" s="13" t="str">
        <f t="shared" si="25"/>
        <v>Sunday</v>
      </c>
      <c r="H330" s="13" t="str">
        <f t="shared" si="26"/>
        <v>June</v>
      </c>
      <c r="I330" s="6">
        <v>1500</v>
      </c>
      <c r="J330" s="6" t="str">
        <f t="shared" si="27"/>
        <v>Recorded</v>
      </c>
      <c r="K330" t="s">
        <v>1922</v>
      </c>
      <c r="L330" t="str">
        <f t="shared" si="29"/>
        <v>Regular</v>
      </c>
      <c r="M330" t="str">
        <f t="shared" si="28"/>
        <v>Not Provided</v>
      </c>
    </row>
    <row r="331" spans="1:13" ht="15.75" x14ac:dyDescent="0.3">
      <c r="A331" s="1" t="s">
        <v>1335</v>
      </c>
      <c r="B331" s="1" t="s">
        <v>1778</v>
      </c>
      <c r="C331">
        <v>20</v>
      </c>
      <c r="D331" s="1" t="s">
        <v>5</v>
      </c>
      <c r="E331" s="1" t="s">
        <v>1915</v>
      </c>
      <c r="F331" s="14">
        <v>43599</v>
      </c>
      <c r="G331" s="13" t="str">
        <f t="shared" si="25"/>
        <v>Tuesday</v>
      </c>
      <c r="H331" s="13" t="str">
        <f t="shared" si="26"/>
        <v>May</v>
      </c>
      <c r="I331" s="6">
        <v>7300</v>
      </c>
      <c r="J331" s="6" t="str">
        <f t="shared" si="27"/>
        <v>Recorded</v>
      </c>
      <c r="K331" t="s">
        <v>1917</v>
      </c>
      <c r="L331" t="str">
        <f t="shared" si="29"/>
        <v>Regular</v>
      </c>
      <c r="M331" t="str">
        <f t="shared" si="28"/>
        <v>Lagos</v>
      </c>
    </row>
    <row r="332" spans="1:13" ht="15.75" x14ac:dyDescent="0.3">
      <c r="A332" s="1" t="s">
        <v>1336</v>
      </c>
      <c r="B332" s="1" t="s">
        <v>1779</v>
      </c>
      <c r="C332">
        <v>20</v>
      </c>
      <c r="D332" s="1" t="s">
        <v>70</v>
      </c>
      <c r="E332" s="1" t="s">
        <v>189</v>
      </c>
      <c r="F332" s="13">
        <v>34734</v>
      </c>
      <c r="G332" s="13" t="str">
        <f t="shared" si="25"/>
        <v>Saturday</v>
      </c>
      <c r="H332" s="13" t="str">
        <f t="shared" si="26"/>
        <v>February</v>
      </c>
      <c r="I332" s="6">
        <v>585.70548688299095</v>
      </c>
      <c r="J332" s="6" t="str">
        <f t="shared" si="27"/>
        <v>Recorded</v>
      </c>
      <c r="K332" t="s">
        <v>1922</v>
      </c>
      <c r="L332" t="str">
        <f t="shared" si="29"/>
        <v>Regular</v>
      </c>
      <c r="M332" t="str">
        <f t="shared" si="28"/>
        <v>Not Provided</v>
      </c>
    </row>
    <row r="333" spans="1:13" ht="15.75" x14ac:dyDescent="0.3">
      <c r="A333" s="1" t="s">
        <v>1336</v>
      </c>
      <c r="B333" s="1" t="s">
        <v>1779</v>
      </c>
      <c r="C333">
        <v>30</v>
      </c>
      <c r="D333" s="1" t="s">
        <v>8</v>
      </c>
      <c r="E333" s="1" t="s">
        <v>1915</v>
      </c>
      <c r="F333" s="13">
        <v>34734</v>
      </c>
      <c r="G333" s="13" t="str">
        <f t="shared" si="25"/>
        <v>Saturday</v>
      </c>
      <c r="H333" s="13" t="str">
        <f t="shared" si="26"/>
        <v>February</v>
      </c>
      <c r="I333" s="6">
        <v>585.70548688299095</v>
      </c>
      <c r="J333" s="6" t="str">
        <f t="shared" si="27"/>
        <v>Recorded</v>
      </c>
      <c r="K333" t="s">
        <v>1917</v>
      </c>
      <c r="L333" t="str">
        <f t="shared" si="29"/>
        <v>Regular</v>
      </c>
      <c r="M333" t="str">
        <f t="shared" si="28"/>
        <v>Not Provided</v>
      </c>
    </row>
    <row r="334" spans="1:13" ht="15.75" x14ac:dyDescent="0.3">
      <c r="A334" s="1" t="s">
        <v>1337</v>
      </c>
      <c r="B334" s="1" t="s">
        <v>1780</v>
      </c>
      <c r="C334">
        <v>30</v>
      </c>
      <c r="D334" s="1" t="s">
        <v>8</v>
      </c>
      <c r="E334" s="1" t="s">
        <v>189</v>
      </c>
      <c r="F334" s="13">
        <v>43750</v>
      </c>
      <c r="G334" s="13" t="str">
        <f t="shared" si="25"/>
        <v>Saturday</v>
      </c>
      <c r="H334" s="13" t="str">
        <f t="shared" si="26"/>
        <v>October</v>
      </c>
      <c r="I334" s="6">
        <v>1000</v>
      </c>
      <c r="J334" s="6" t="str">
        <f t="shared" si="27"/>
        <v>Recorded</v>
      </c>
      <c r="K334" t="s">
        <v>1922</v>
      </c>
      <c r="L334" t="str">
        <f t="shared" si="29"/>
        <v>Regular</v>
      </c>
      <c r="M334" t="str">
        <f t="shared" si="28"/>
        <v>Not Provided</v>
      </c>
    </row>
    <row r="335" spans="1:13" ht="15.75" x14ac:dyDescent="0.3">
      <c r="A335" s="1" t="s">
        <v>1337</v>
      </c>
      <c r="B335" s="1" t="s">
        <v>1780</v>
      </c>
      <c r="C335">
        <v>35</v>
      </c>
      <c r="D335" s="1" t="s">
        <v>8</v>
      </c>
      <c r="E335" s="1" t="s">
        <v>189</v>
      </c>
      <c r="F335" s="13">
        <v>43750</v>
      </c>
      <c r="G335" s="13" t="str">
        <f t="shared" si="25"/>
        <v>Saturday</v>
      </c>
      <c r="H335" s="13" t="str">
        <f t="shared" si="26"/>
        <v>October</v>
      </c>
      <c r="I335" s="6"/>
      <c r="J335" s="6" t="str">
        <f t="shared" si="27"/>
        <v>Not Recorded</v>
      </c>
      <c r="K335" t="s">
        <v>1919</v>
      </c>
      <c r="L335" t="str">
        <f t="shared" si="29"/>
        <v>Regular</v>
      </c>
      <c r="M335" t="str">
        <f t="shared" si="28"/>
        <v>Not Provided</v>
      </c>
    </row>
    <row r="336" spans="1:13" ht="15.75" x14ac:dyDescent="0.3">
      <c r="A336" s="1" t="s">
        <v>1338</v>
      </c>
      <c r="B336" s="1" t="s">
        <v>1781</v>
      </c>
      <c r="C336">
        <v>30</v>
      </c>
      <c r="D336" s="1" t="s">
        <v>5</v>
      </c>
      <c r="E336" s="1" t="s">
        <v>1915</v>
      </c>
      <c r="F336" s="13">
        <v>36811</v>
      </c>
      <c r="G336" s="13" t="str">
        <f t="shared" si="25"/>
        <v>Thursday</v>
      </c>
      <c r="H336" s="13" t="str">
        <f t="shared" si="26"/>
        <v>October</v>
      </c>
      <c r="I336" s="6">
        <v>1721.9062905217099</v>
      </c>
      <c r="J336" s="6" t="str">
        <f t="shared" si="27"/>
        <v>Recorded</v>
      </c>
      <c r="K336" t="s">
        <v>1922</v>
      </c>
      <c r="L336" t="str">
        <f t="shared" si="29"/>
        <v>Regular</v>
      </c>
      <c r="M336" t="str">
        <f t="shared" si="28"/>
        <v>Not Provided</v>
      </c>
    </row>
    <row r="337" spans="1:13" ht="15.75" x14ac:dyDescent="0.3">
      <c r="A337" s="1" t="s">
        <v>1339</v>
      </c>
      <c r="B337" s="1" t="s">
        <v>1782</v>
      </c>
      <c r="C337">
        <v>30</v>
      </c>
      <c r="D337" s="1" t="s">
        <v>70</v>
      </c>
      <c r="E337" s="1" t="s">
        <v>189</v>
      </c>
      <c r="F337" s="13">
        <v>45388</v>
      </c>
      <c r="G337" s="13" t="str">
        <f t="shared" si="25"/>
        <v>Saturday</v>
      </c>
      <c r="H337" s="13" t="str">
        <f t="shared" si="26"/>
        <v>April</v>
      </c>
      <c r="I337" s="6">
        <v>7600</v>
      </c>
      <c r="J337" s="6" t="str">
        <f t="shared" si="27"/>
        <v>Recorded</v>
      </c>
      <c r="K337" t="s">
        <v>1917</v>
      </c>
      <c r="L337" t="str">
        <f t="shared" si="29"/>
        <v>Regular</v>
      </c>
      <c r="M337" t="str">
        <f t="shared" si="28"/>
        <v>Lagos</v>
      </c>
    </row>
    <row r="338" spans="1:13" ht="15.75" x14ac:dyDescent="0.3">
      <c r="A338" s="1" t="s">
        <v>1340</v>
      </c>
      <c r="B338" s="1" t="s">
        <v>1783</v>
      </c>
      <c r="C338">
        <v>20</v>
      </c>
      <c r="D338" s="1" t="s">
        <v>5</v>
      </c>
      <c r="E338" s="1" t="s">
        <v>189</v>
      </c>
      <c r="F338" s="13">
        <v>45326</v>
      </c>
      <c r="G338" s="13" t="str">
        <f t="shared" si="25"/>
        <v>Sunday</v>
      </c>
      <c r="H338" s="13" t="str">
        <f t="shared" si="26"/>
        <v>February</v>
      </c>
      <c r="I338" s="6">
        <v>851.98983398164103</v>
      </c>
      <c r="J338" s="6" t="str">
        <f t="shared" si="27"/>
        <v>Recorded</v>
      </c>
      <c r="K338" t="s">
        <v>1922</v>
      </c>
      <c r="L338" t="str">
        <f t="shared" si="29"/>
        <v>Regular</v>
      </c>
      <c r="M338" t="str">
        <f t="shared" si="28"/>
        <v>Not Provided</v>
      </c>
    </row>
    <row r="339" spans="1:13" ht="15.75" x14ac:dyDescent="0.3">
      <c r="A339" s="1" t="s">
        <v>1341</v>
      </c>
      <c r="B339" s="1" t="s">
        <v>1784</v>
      </c>
      <c r="C339">
        <v>20</v>
      </c>
      <c r="D339" s="1" t="s">
        <v>8</v>
      </c>
      <c r="E339" s="1" t="s">
        <v>189</v>
      </c>
      <c r="F339" s="13">
        <v>37656</v>
      </c>
      <c r="G339" s="13" t="str">
        <f t="shared" si="25"/>
        <v>Tuesday</v>
      </c>
      <c r="H339" s="13" t="str">
        <f t="shared" si="26"/>
        <v>February</v>
      </c>
      <c r="I339" s="6">
        <v>220.573894709874</v>
      </c>
      <c r="J339" s="6" t="str">
        <f t="shared" si="27"/>
        <v>Recorded</v>
      </c>
      <c r="K339" t="s">
        <v>1917</v>
      </c>
      <c r="L339" t="str">
        <f t="shared" si="29"/>
        <v>Regular</v>
      </c>
      <c r="M339" t="str">
        <f t="shared" si="28"/>
        <v>Lagos</v>
      </c>
    </row>
    <row r="340" spans="1:13" ht="15.75" x14ac:dyDescent="0.3">
      <c r="A340" s="1" t="s">
        <v>1342</v>
      </c>
      <c r="B340" s="1" t="s">
        <v>1785</v>
      </c>
      <c r="C340">
        <v>30</v>
      </c>
      <c r="D340" s="1" t="s">
        <v>8</v>
      </c>
      <c r="E340" s="1" t="s">
        <v>1915</v>
      </c>
      <c r="F340" s="14">
        <v>44509</v>
      </c>
      <c r="G340" s="13" t="str">
        <f t="shared" si="25"/>
        <v>Tuesday</v>
      </c>
      <c r="H340" s="13" t="str">
        <f t="shared" si="26"/>
        <v>November</v>
      </c>
      <c r="I340" s="6">
        <v>8746.9900549941704</v>
      </c>
      <c r="J340" s="6" t="str">
        <f t="shared" si="27"/>
        <v>Recorded</v>
      </c>
      <c r="K340" t="s">
        <v>1922</v>
      </c>
      <c r="L340" t="str">
        <f t="shared" si="29"/>
        <v>Regular</v>
      </c>
      <c r="M340" t="str">
        <f t="shared" si="28"/>
        <v>Not Provided</v>
      </c>
    </row>
    <row r="341" spans="1:13" ht="15.75" x14ac:dyDescent="0.3">
      <c r="A341" s="1" t="s">
        <v>1343</v>
      </c>
      <c r="B341" s="1" t="s">
        <v>1786</v>
      </c>
      <c r="C341">
        <v>37</v>
      </c>
      <c r="D341" s="1" t="s">
        <v>70</v>
      </c>
      <c r="E341" s="1" t="s">
        <v>1915</v>
      </c>
      <c r="F341" s="13">
        <v>43597</v>
      </c>
      <c r="G341" s="13" t="str">
        <f t="shared" si="25"/>
        <v>Sunday</v>
      </c>
      <c r="H341" s="13" t="str">
        <f t="shared" si="26"/>
        <v>May</v>
      </c>
      <c r="I341" s="6">
        <v>9500</v>
      </c>
      <c r="J341" s="6" t="str">
        <f t="shared" si="27"/>
        <v>Recorded</v>
      </c>
      <c r="K341" t="s">
        <v>1916</v>
      </c>
      <c r="L341" t="str">
        <f t="shared" si="29"/>
        <v>Regular</v>
      </c>
      <c r="M341" t="str">
        <f t="shared" si="28"/>
        <v>South Africa</v>
      </c>
    </row>
    <row r="342" spans="1:13" ht="15.75" x14ac:dyDescent="0.3">
      <c r="A342" s="1" t="s">
        <v>1344</v>
      </c>
      <c r="B342" s="1" t="s">
        <v>1787</v>
      </c>
      <c r="C342">
        <v>30</v>
      </c>
      <c r="D342" s="1" t="s">
        <v>5</v>
      </c>
      <c r="E342" s="1" t="s">
        <v>1915</v>
      </c>
      <c r="F342" s="13">
        <v>41397</v>
      </c>
      <c r="G342" s="13" t="str">
        <f t="shared" si="25"/>
        <v>Friday</v>
      </c>
      <c r="H342" s="13" t="str">
        <f t="shared" si="26"/>
        <v>May</v>
      </c>
      <c r="I342" s="6">
        <v>9500</v>
      </c>
      <c r="J342" s="6" t="str">
        <f t="shared" si="27"/>
        <v>Recorded</v>
      </c>
      <c r="K342" t="s">
        <v>1916</v>
      </c>
      <c r="L342" t="str">
        <f t="shared" si="29"/>
        <v>Regular</v>
      </c>
      <c r="M342" t="str">
        <f t="shared" si="28"/>
        <v>South Africa</v>
      </c>
    </row>
    <row r="343" spans="1:13" ht="15.75" x14ac:dyDescent="0.3">
      <c r="A343" s="1" t="s">
        <v>1345</v>
      </c>
      <c r="B343" s="1" t="s">
        <v>1788</v>
      </c>
      <c r="C343">
        <v>20</v>
      </c>
      <c r="D343" s="1" t="s">
        <v>8</v>
      </c>
      <c r="E343" s="1" t="s">
        <v>1915</v>
      </c>
      <c r="F343" s="13">
        <v>36908</v>
      </c>
      <c r="G343" s="13" t="str">
        <f t="shared" si="25"/>
        <v>Wednesday</v>
      </c>
      <c r="H343" s="13" t="str">
        <f t="shared" si="26"/>
        <v>January</v>
      </c>
      <c r="I343" s="6">
        <v>669.37549034357301</v>
      </c>
      <c r="J343" s="6" t="str">
        <f t="shared" si="27"/>
        <v>Recorded</v>
      </c>
      <c r="K343" t="s">
        <v>1919</v>
      </c>
      <c r="L343" t="str">
        <f t="shared" si="29"/>
        <v>Regular</v>
      </c>
      <c r="M343" t="str">
        <f t="shared" si="28"/>
        <v>Spain</v>
      </c>
    </row>
    <row r="344" spans="1:13" ht="15.75" x14ac:dyDescent="0.3">
      <c r="A344" s="1" t="s">
        <v>1346</v>
      </c>
      <c r="B344" s="1" t="s">
        <v>1789</v>
      </c>
      <c r="C344">
        <v>52</v>
      </c>
      <c r="D344" s="1" t="s">
        <v>5</v>
      </c>
      <c r="E344" s="1" t="s">
        <v>189</v>
      </c>
      <c r="F344" s="13">
        <v>37738</v>
      </c>
      <c r="G344" s="13" t="str">
        <f t="shared" si="25"/>
        <v>Sunday</v>
      </c>
      <c r="H344" s="13" t="str">
        <f t="shared" si="26"/>
        <v>April</v>
      </c>
      <c r="I344" s="6">
        <v>951.178865328548</v>
      </c>
      <c r="J344" s="6" t="str">
        <f t="shared" si="27"/>
        <v>Recorded</v>
      </c>
      <c r="K344" t="s">
        <v>1922</v>
      </c>
      <c r="L344" t="str">
        <f t="shared" si="29"/>
        <v>Regular</v>
      </c>
      <c r="M344" t="str">
        <f t="shared" si="28"/>
        <v>Not Provided</v>
      </c>
    </row>
    <row r="345" spans="1:13" ht="15.75" x14ac:dyDescent="0.3">
      <c r="A345" s="1" t="s">
        <v>1347</v>
      </c>
      <c r="B345" s="1" t="s">
        <v>1790</v>
      </c>
      <c r="C345">
        <v>21</v>
      </c>
      <c r="D345" s="1" t="s">
        <v>8</v>
      </c>
      <c r="E345" s="1" t="s">
        <v>1915</v>
      </c>
      <c r="F345" s="13">
        <v>32157</v>
      </c>
      <c r="G345" s="13" t="str">
        <f t="shared" si="25"/>
        <v>Friday</v>
      </c>
      <c r="H345" s="13" t="str">
        <f t="shared" si="26"/>
        <v>January</v>
      </c>
      <c r="I345" s="6">
        <v>1227.0815730372401</v>
      </c>
      <c r="J345" s="6" t="str">
        <f t="shared" si="27"/>
        <v>Recorded</v>
      </c>
      <c r="K345" t="s">
        <v>1917</v>
      </c>
      <c r="L345" t="str">
        <f t="shared" si="29"/>
        <v>Regular</v>
      </c>
      <c r="M345" t="str">
        <f t="shared" si="28"/>
        <v>Lagos</v>
      </c>
    </row>
    <row r="346" spans="1:13" ht="15.75" x14ac:dyDescent="0.3">
      <c r="A346" s="1" t="s">
        <v>1348</v>
      </c>
      <c r="B346" s="1" t="s">
        <v>1791</v>
      </c>
      <c r="C346">
        <v>30</v>
      </c>
      <c r="D346" s="1" t="s">
        <v>5</v>
      </c>
      <c r="E346" s="1" t="s">
        <v>1915</v>
      </c>
      <c r="F346" s="13">
        <v>35486</v>
      </c>
      <c r="G346" s="13" t="str">
        <f t="shared" si="25"/>
        <v>Tuesday</v>
      </c>
      <c r="H346" s="13" t="str">
        <f t="shared" si="26"/>
        <v>February</v>
      </c>
      <c r="I346" s="6">
        <v>9500</v>
      </c>
      <c r="J346" s="6" t="str">
        <f t="shared" si="27"/>
        <v>Recorded</v>
      </c>
      <c r="K346" t="s">
        <v>1919</v>
      </c>
      <c r="L346" t="str">
        <f t="shared" si="29"/>
        <v>Regular</v>
      </c>
      <c r="M346" t="str">
        <f t="shared" si="28"/>
        <v>Spain</v>
      </c>
    </row>
    <row r="347" spans="1:13" ht="15.75" x14ac:dyDescent="0.3">
      <c r="A347" s="1" t="s">
        <v>1349</v>
      </c>
      <c r="B347" s="1" t="s">
        <v>1792</v>
      </c>
      <c r="C347">
        <v>60</v>
      </c>
      <c r="D347" s="1" t="s">
        <v>5</v>
      </c>
      <c r="E347" s="1" t="s">
        <v>189</v>
      </c>
      <c r="F347" s="13">
        <v>32136</v>
      </c>
      <c r="G347" s="13" t="str">
        <f t="shared" si="25"/>
        <v>Friday</v>
      </c>
      <c r="H347" s="13" t="str">
        <f t="shared" si="26"/>
        <v>December</v>
      </c>
      <c r="I347" s="6">
        <v>9500</v>
      </c>
      <c r="J347" s="6" t="str">
        <f t="shared" si="27"/>
        <v>Recorded</v>
      </c>
      <c r="K347" t="s">
        <v>1916</v>
      </c>
      <c r="L347" t="str">
        <f t="shared" si="29"/>
        <v>Regular</v>
      </c>
      <c r="M347" t="str">
        <f t="shared" si="28"/>
        <v>South Africa</v>
      </c>
    </row>
    <row r="348" spans="1:13" ht="15.75" x14ac:dyDescent="0.3">
      <c r="A348" s="1" t="s">
        <v>1349</v>
      </c>
      <c r="B348" s="1" t="s">
        <v>1792</v>
      </c>
      <c r="C348">
        <v>20</v>
      </c>
      <c r="D348" s="1" t="s">
        <v>5</v>
      </c>
      <c r="E348" s="1" t="s">
        <v>189</v>
      </c>
      <c r="F348" s="13">
        <v>32136</v>
      </c>
      <c r="G348" s="13" t="str">
        <f t="shared" si="25"/>
        <v>Friday</v>
      </c>
      <c r="H348" s="13" t="str">
        <f t="shared" si="26"/>
        <v>December</v>
      </c>
      <c r="I348" s="6">
        <v>9500</v>
      </c>
      <c r="J348" s="6" t="str">
        <f t="shared" si="27"/>
        <v>Recorded</v>
      </c>
      <c r="K348" t="s">
        <v>1916</v>
      </c>
      <c r="L348" t="str">
        <f t="shared" si="29"/>
        <v>Regular</v>
      </c>
      <c r="M348" t="str">
        <f t="shared" si="28"/>
        <v>South Africa</v>
      </c>
    </row>
    <row r="349" spans="1:13" ht="15.75" x14ac:dyDescent="0.3">
      <c r="A349" s="1" t="s">
        <v>1350</v>
      </c>
      <c r="B349" s="1" t="s">
        <v>1793</v>
      </c>
      <c r="C349">
        <v>24</v>
      </c>
      <c r="D349" s="1" t="s">
        <v>5</v>
      </c>
      <c r="E349" s="1" t="s">
        <v>1915</v>
      </c>
      <c r="F349" s="13">
        <v>45331</v>
      </c>
      <c r="G349" s="13" t="str">
        <f t="shared" si="25"/>
        <v>Friday</v>
      </c>
      <c r="H349" s="13" t="str">
        <f t="shared" si="26"/>
        <v>February</v>
      </c>
      <c r="I349" s="6">
        <v>151.15038470408601</v>
      </c>
      <c r="J349" s="6" t="str">
        <f t="shared" si="27"/>
        <v>Recorded</v>
      </c>
      <c r="K349" t="s">
        <v>1919</v>
      </c>
      <c r="L349" t="str">
        <f t="shared" si="29"/>
        <v>Regular</v>
      </c>
      <c r="M349" t="str">
        <f t="shared" si="28"/>
        <v>Spain</v>
      </c>
    </row>
    <row r="350" spans="1:13" ht="15.75" x14ac:dyDescent="0.3">
      <c r="A350" s="1" t="s">
        <v>1351</v>
      </c>
      <c r="B350" s="1" t="s">
        <v>1794</v>
      </c>
      <c r="C350">
        <v>30</v>
      </c>
      <c r="D350" s="1" t="s">
        <v>8</v>
      </c>
      <c r="E350" s="1" t="s">
        <v>189</v>
      </c>
      <c r="F350" s="13">
        <v>45510</v>
      </c>
      <c r="G350" s="13" t="str">
        <f t="shared" si="25"/>
        <v>Tuesday</v>
      </c>
      <c r="H350" s="13" t="str">
        <f t="shared" si="26"/>
        <v>August</v>
      </c>
      <c r="I350" s="6">
        <v>1500</v>
      </c>
      <c r="J350" s="6" t="str">
        <f t="shared" si="27"/>
        <v>Recorded</v>
      </c>
      <c r="K350" t="s">
        <v>1922</v>
      </c>
      <c r="L350" t="str">
        <f t="shared" si="29"/>
        <v>Regular</v>
      </c>
      <c r="M350" t="str">
        <f t="shared" si="28"/>
        <v>Not Provided</v>
      </c>
    </row>
    <row r="351" spans="1:13" ht="15.75" x14ac:dyDescent="0.3">
      <c r="A351" s="1" t="s">
        <v>1352</v>
      </c>
      <c r="B351" s="1" t="s">
        <v>1795</v>
      </c>
      <c r="C351">
        <v>30</v>
      </c>
      <c r="D351" s="1" t="s">
        <v>70</v>
      </c>
      <c r="E351" s="1" t="s">
        <v>1915</v>
      </c>
      <c r="F351" s="14">
        <v>43490</v>
      </c>
      <c r="G351" s="13" t="str">
        <f t="shared" si="25"/>
        <v>Friday</v>
      </c>
      <c r="H351" s="13" t="str">
        <f t="shared" si="26"/>
        <v>January</v>
      </c>
      <c r="I351" s="6">
        <v>9500</v>
      </c>
      <c r="J351" s="6" t="str">
        <f t="shared" si="27"/>
        <v>Recorded</v>
      </c>
      <c r="K351" t="s">
        <v>1922</v>
      </c>
      <c r="L351" t="str">
        <f t="shared" si="29"/>
        <v>Regular</v>
      </c>
      <c r="M351" t="str">
        <f t="shared" si="28"/>
        <v>Not Provided</v>
      </c>
    </row>
    <row r="352" spans="1:13" ht="15.75" x14ac:dyDescent="0.3">
      <c r="A352" s="1" t="s">
        <v>1353</v>
      </c>
      <c r="B352" s="1" t="s">
        <v>1796</v>
      </c>
      <c r="C352">
        <v>23</v>
      </c>
      <c r="D352" s="1" t="s">
        <v>5</v>
      </c>
      <c r="E352" s="1" t="s">
        <v>1915</v>
      </c>
      <c r="F352" s="13">
        <v>36138</v>
      </c>
      <c r="G352" s="13" t="str">
        <f t="shared" si="25"/>
        <v>Wednesday</v>
      </c>
      <c r="H352" s="13" t="str">
        <f t="shared" si="26"/>
        <v>December</v>
      </c>
      <c r="I352" s="6">
        <v>9500</v>
      </c>
      <c r="J352" s="6" t="str">
        <f t="shared" si="27"/>
        <v>Recorded</v>
      </c>
      <c r="K352" t="s">
        <v>1919</v>
      </c>
      <c r="L352" t="str">
        <f t="shared" si="29"/>
        <v>Regular</v>
      </c>
      <c r="M352" t="str">
        <f t="shared" si="28"/>
        <v>Spain</v>
      </c>
    </row>
    <row r="353" spans="1:13" ht="15.75" x14ac:dyDescent="0.3">
      <c r="A353" s="1" t="s">
        <v>1354</v>
      </c>
      <c r="B353" s="1" t="s">
        <v>1797</v>
      </c>
      <c r="C353">
        <v>20</v>
      </c>
      <c r="D353" s="1" t="s">
        <v>5</v>
      </c>
      <c r="E353" s="1" t="s">
        <v>189</v>
      </c>
      <c r="F353" s="13">
        <v>41726</v>
      </c>
      <c r="G353" s="13" t="str">
        <f t="shared" si="25"/>
        <v>Friday</v>
      </c>
      <c r="H353" s="13" t="str">
        <f t="shared" si="26"/>
        <v>March</v>
      </c>
      <c r="I353" s="6">
        <v>9500</v>
      </c>
      <c r="J353" s="6" t="str">
        <f t="shared" si="27"/>
        <v>Recorded</v>
      </c>
      <c r="K353" t="s">
        <v>1917</v>
      </c>
      <c r="L353" t="str">
        <f t="shared" si="29"/>
        <v>Regular</v>
      </c>
      <c r="M353" t="str">
        <f t="shared" si="28"/>
        <v>Lagos</v>
      </c>
    </row>
    <row r="354" spans="1:13" ht="15.75" x14ac:dyDescent="0.3">
      <c r="A354" s="1" t="s">
        <v>1355</v>
      </c>
      <c r="B354" s="1" t="s">
        <v>1798</v>
      </c>
      <c r="C354">
        <v>30</v>
      </c>
      <c r="D354" s="1" t="s">
        <v>5</v>
      </c>
      <c r="E354" s="1" t="s">
        <v>1915</v>
      </c>
      <c r="F354" s="13">
        <v>29112</v>
      </c>
      <c r="G354" s="13" t="str">
        <f t="shared" si="25"/>
        <v>Friday</v>
      </c>
      <c r="H354" s="13" t="str">
        <f t="shared" si="26"/>
        <v>September</v>
      </c>
      <c r="I354" s="6">
        <v>1500</v>
      </c>
      <c r="J354" s="6" t="str">
        <f t="shared" si="27"/>
        <v>Recorded</v>
      </c>
      <c r="K354" t="s">
        <v>1922</v>
      </c>
      <c r="L354" t="str">
        <f t="shared" si="29"/>
        <v>Regular</v>
      </c>
      <c r="M354" t="str">
        <f t="shared" si="28"/>
        <v>Not Provided</v>
      </c>
    </row>
    <row r="355" spans="1:13" ht="15.75" x14ac:dyDescent="0.3">
      <c r="A355" s="1" t="s">
        <v>1356</v>
      </c>
      <c r="B355" s="1" t="s">
        <v>1799</v>
      </c>
      <c r="C355">
        <v>21</v>
      </c>
      <c r="D355" s="1" t="s">
        <v>8</v>
      </c>
      <c r="E355" s="1" t="s">
        <v>189</v>
      </c>
      <c r="F355" s="13">
        <v>42266</v>
      </c>
      <c r="G355" s="13" t="str">
        <f t="shared" si="25"/>
        <v>Saturday</v>
      </c>
      <c r="H355" s="13" t="str">
        <f t="shared" si="26"/>
        <v>September</v>
      </c>
      <c r="I355" s="6">
        <v>475.75609455991997</v>
      </c>
      <c r="J355" s="6" t="str">
        <f t="shared" si="27"/>
        <v>Recorded</v>
      </c>
      <c r="K355" t="s">
        <v>1922</v>
      </c>
      <c r="L355" t="str">
        <f t="shared" si="29"/>
        <v>Regular</v>
      </c>
      <c r="M355" t="str">
        <f t="shared" si="28"/>
        <v>Not Provided</v>
      </c>
    </row>
    <row r="356" spans="1:13" ht="15.75" x14ac:dyDescent="0.3">
      <c r="A356" s="1" t="s">
        <v>1357</v>
      </c>
      <c r="B356" s="1" t="s">
        <v>1800</v>
      </c>
      <c r="C356">
        <v>20</v>
      </c>
      <c r="D356" s="1" t="s">
        <v>5</v>
      </c>
      <c r="E356" s="1" t="s">
        <v>189</v>
      </c>
      <c r="F356" s="14">
        <v>44168</v>
      </c>
      <c r="G356" s="13" t="str">
        <f t="shared" si="25"/>
        <v>Thursday</v>
      </c>
      <c r="H356" s="13" t="str">
        <f t="shared" si="26"/>
        <v>December</v>
      </c>
      <c r="I356" s="6">
        <v>6190.0231423895402</v>
      </c>
      <c r="J356" s="6" t="str">
        <f t="shared" si="27"/>
        <v>Recorded</v>
      </c>
      <c r="K356" t="s">
        <v>1917</v>
      </c>
      <c r="L356" t="str">
        <f t="shared" si="29"/>
        <v>Regular</v>
      </c>
      <c r="M356" t="str">
        <f t="shared" si="28"/>
        <v>Lagos</v>
      </c>
    </row>
    <row r="357" spans="1:13" ht="15.75" x14ac:dyDescent="0.3">
      <c r="A357" s="1" t="s">
        <v>1358</v>
      </c>
      <c r="B357" s="1" t="s">
        <v>1801</v>
      </c>
      <c r="C357">
        <v>28</v>
      </c>
      <c r="D357" s="1" t="s">
        <v>5</v>
      </c>
      <c r="E357" s="1" t="s">
        <v>1915</v>
      </c>
      <c r="F357" s="13">
        <v>45456</v>
      </c>
      <c r="G357" s="13" t="str">
        <f t="shared" si="25"/>
        <v>Thursday</v>
      </c>
      <c r="H357" s="13" t="str">
        <f t="shared" si="26"/>
        <v>June</v>
      </c>
      <c r="I357" s="6">
        <v>2724.84817491801</v>
      </c>
      <c r="J357" s="6" t="str">
        <f t="shared" si="27"/>
        <v>Recorded</v>
      </c>
      <c r="K357" t="s">
        <v>1919</v>
      </c>
      <c r="L357" t="str">
        <f t="shared" si="29"/>
        <v>Regular</v>
      </c>
      <c r="M357" t="str">
        <f t="shared" si="28"/>
        <v>Spain</v>
      </c>
    </row>
    <row r="358" spans="1:13" ht="15.75" x14ac:dyDescent="0.3">
      <c r="A358" s="1" t="s">
        <v>1359</v>
      </c>
      <c r="B358" s="1" t="s">
        <v>1802</v>
      </c>
      <c r="C358">
        <v>30</v>
      </c>
      <c r="D358" s="1" t="s">
        <v>5</v>
      </c>
      <c r="E358" s="1" t="s">
        <v>1915</v>
      </c>
      <c r="F358" s="13">
        <v>37362</v>
      </c>
      <c r="G358" s="13" t="str">
        <f t="shared" si="25"/>
        <v>Tuesday</v>
      </c>
      <c r="H358" s="13" t="str">
        <f t="shared" si="26"/>
        <v>April</v>
      </c>
      <c r="I358" s="6">
        <v>9370</v>
      </c>
      <c r="J358" s="6" t="str">
        <f t="shared" si="27"/>
        <v>Recorded</v>
      </c>
      <c r="K358" t="s">
        <v>1916</v>
      </c>
      <c r="L358" t="str">
        <f t="shared" si="29"/>
        <v>Regular</v>
      </c>
      <c r="M358" t="str">
        <f t="shared" si="28"/>
        <v>South Africa</v>
      </c>
    </row>
    <row r="359" spans="1:13" ht="15.75" x14ac:dyDescent="0.3">
      <c r="A359" s="1" t="s">
        <v>1360</v>
      </c>
      <c r="B359" s="1" t="s">
        <v>1803</v>
      </c>
      <c r="C359">
        <v>30</v>
      </c>
      <c r="D359" s="1" t="s">
        <v>5</v>
      </c>
      <c r="E359" s="1" t="s">
        <v>189</v>
      </c>
      <c r="F359" s="13">
        <v>37397</v>
      </c>
      <c r="G359" s="13" t="str">
        <f t="shared" si="25"/>
        <v>Tuesday</v>
      </c>
      <c r="H359" s="13" t="str">
        <f t="shared" si="26"/>
        <v>May</v>
      </c>
      <c r="I359" s="6">
        <v>36.684701848330697</v>
      </c>
      <c r="J359" s="6" t="str">
        <f t="shared" si="27"/>
        <v>Recorded</v>
      </c>
      <c r="K359" t="s">
        <v>1919</v>
      </c>
      <c r="L359" t="str">
        <f t="shared" si="29"/>
        <v>Regular</v>
      </c>
      <c r="M359" t="str">
        <f t="shared" si="28"/>
        <v>Spain</v>
      </c>
    </row>
    <row r="360" spans="1:13" ht="15.75" x14ac:dyDescent="0.3">
      <c r="A360" s="1" t="s">
        <v>1361</v>
      </c>
      <c r="B360" s="1" t="s">
        <v>1804</v>
      </c>
      <c r="C360">
        <v>67</v>
      </c>
      <c r="D360" s="1" t="s">
        <v>5</v>
      </c>
      <c r="E360" s="1" t="s">
        <v>1915</v>
      </c>
      <c r="F360" s="13">
        <v>28543</v>
      </c>
      <c r="G360" s="13" t="str">
        <f t="shared" si="25"/>
        <v>Wednesday</v>
      </c>
      <c r="H360" s="13" t="str">
        <f t="shared" si="26"/>
        <v>February</v>
      </c>
      <c r="I360" s="6">
        <v>1500</v>
      </c>
      <c r="J360" s="6" t="str">
        <f t="shared" si="27"/>
        <v>Recorded</v>
      </c>
      <c r="K360" t="s">
        <v>1919</v>
      </c>
      <c r="L360" t="str">
        <f t="shared" si="29"/>
        <v>Regular</v>
      </c>
      <c r="M360" t="str">
        <f t="shared" si="28"/>
        <v>Spain</v>
      </c>
    </row>
    <row r="361" spans="1:13" ht="15.75" x14ac:dyDescent="0.3">
      <c r="A361" s="1" t="s">
        <v>1362</v>
      </c>
      <c r="B361" s="1" t="s">
        <v>1805</v>
      </c>
      <c r="C361">
        <v>30</v>
      </c>
      <c r="D361" s="1" t="s">
        <v>8</v>
      </c>
      <c r="E361" s="1" t="s">
        <v>189</v>
      </c>
      <c r="F361" s="13">
        <v>40271</v>
      </c>
      <c r="G361" s="13" t="str">
        <f t="shared" si="25"/>
        <v>Saturday</v>
      </c>
      <c r="H361" s="13" t="str">
        <f t="shared" si="26"/>
        <v>April</v>
      </c>
      <c r="I361" s="6">
        <v>6465.7289434037602</v>
      </c>
      <c r="J361" s="6" t="str">
        <f t="shared" si="27"/>
        <v>Recorded</v>
      </c>
      <c r="K361" t="s">
        <v>1922</v>
      </c>
      <c r="L361" t="str">
        <f t="shared" si="29"/>
        <v>Regular</v>
      </c>
      <c r="M361" t="str">
        <f t="shared" si="28"/>
        <v>Not Provided</v>
      </c>
    </row>
    <row r="362" spans="1:13" ht="15.75" x14ac:dyDescent="0.3">
      <c r="A362" s="1" t="s">
        <v>1363</v>
      </c>
      <c r="B362" s="1" t="s">
        <v>1806</v>
      </c>
      <c r="C362">
        <v>30</v>
      </c>
      <c r="D362" s="1" t="s">
        <v>8</v>
      </c>
      <c r="E362" s="1" t="s">
        <v>1915</v>
      </c>
      <c r="F362" s="13">
        <v>37936</v>
      </c>
      <c r="G362" s="13" t="str">
        <f t="shared" si="25"/>
        <v>Tuesday</v>
      </c>
      <c r="H362" s="13" t="str">
        <f t="shared" si="26"/>
        <v>November</v>
      </c>
      <c r="I362" s="6">
        <v>9500</v>
      </c>
      <c r="J362" s="6" t="str">
        <f t="shared" si="27"/>
        <v>Recorded</v>
      </c>
      <c r="K362" t="s">
        <v>1916</v>
      </c>
      <c r="L362" t="str">
        <f t="shared" si="29"/>
        <v>Regular</v>
      </c>
      <c r="M362" t="str">
        <f t="shared" si="28"/>
        <v>South Africa</v>
      </c>
    </row>
    <row r="363" spans="1:13" ht="15.75" x14ac:dyDescent="0.3">
      <c r="A363" s="1" t="s">
        <v>1364</v>
      </c>
      <c r="B363" s="1" t="s">
        <v>1807</v>
      </c>
      <c r="C363">
        <v>29</v>
      </c>
      <c r="D363" s="1" t="s">
        <v>5</v>
      </c>
      <c r="E363" s="1" t="s">
        <v>189</v>
      </c>
      <c r="F363" s="13">
        <v>45165</v>
      </c>
      <c r="G363" s="13" t="str">
        <f t="shared" si="25"/>
        <v>Sunday</v>
      </c>
      <c r="H363" s="13" t="str">
        <f t="shared" si="26"/>
        <v>August</v>
      </c>
      <c r="I363" s="6">
        <v>1500</v>
      </c>
      <c r="J363" s="6" t="str">
        <f t="shared" si="27"/>
        <v>Recorded</v>
      </c>
      <c r="K363" t="s">
        <v>1917</v>
      </c>
      <c r="L363" t="str">
        <f t="shared" si="29"/>
        <v>Regular</v>
      </c>
      <c r="M363" t="str">
        <f t="shared" si="28"/>
        <v>Lagos</v>
      </c>
    </row>
    <row r="364" spans="1:13" ht="15.75" x14ac:dyDescent="0.3">
      <c r="A364" s="1" t="s">
        <v>1365</v>
      </c>
      <c r="B364" s="1" t="s">
        <v>1808</v>
      </c>
      <c r="C364">
        <v>20</v>
      </c>
      <c r="D364" s="1" t="s">
        <v>5</v>
      </c>
      <c r="E364" s="1" t="s">
        <v>1915</v>
      </c>
      <c r="F364" s="14">
        <v>44211</v>
      </c>
      <c r="G364" s="13" t="str">
        <f t="shared" si="25"/>
        <v>Friday</v>
      </c>
      <c r="H364" s="13" t="str">
        <f t="shared" si="26"/>
        <v>January</v>
      </c>
      <c r="I364" s="6">
        <v>198.516375375194</v>
      </c>
      <c r="J364" s="6" t="str">
        <f t="shared" si="27"/>
        <v>Recorded</v>
      </c>
      <c r="K364" t="s">
        <v>1919</v>
      </c>
      <c r="L364" t="str">
        <f t="shared" si="29"/>
        <v>Regular</v>
      </c>
      <c r="M364" t="str">
        <f t="shared" si="28"/>
        <v>Spain</v>
      </c>
    </row>
    <row r="365" spans="1:13" ht="15.75" x14ac:dyDescent="0.3">
      <c r="A365" s="1" t="s">
        <v>1366</v>
      </c>
      <c r="B365" s="1" t="s">
        <v>1809</v>
      </c>
      <c r="C365">
        <v>30</v>
      </c>
      <c r="D365" s="1" t="s">
        <v>5</v>
      </c>
      <c r="E365" s="1" t="s">
        <v>189</v>
      </c>
      <c r="F365" s="13">
        <v>30166</v>
      </c>
      <c r="G365" s="13" t="str">
        <f t="shared" si="25"/>
        <v>Tuesday</v>
      </c>
      <c r="H365" s="13" t="str">
        <f t="shared" si="26"/>
        <v>August</v>
      </c>
      <c r="I365" s="6">
        <v>1000</v>
      </c>
      <c r="J365" s="6" t="str">
        <f t="shared" si="27"/>
        <v>Recorded</v>
      </c>
      <c r="K365" t="s">
        <v>1918</v>
      </c>
      <c r="L365" t="str">
        <f t="shared" si="29"/>
        <v>Regular</v>
      </c>
      <c r="M365" t="str">
        <f t="shared" si="28"/>
        <v>India</v>
      </c>
    </row>
    <row r="366" spans="1:13" ht="15.75" x14ac:dyDescent="0.3">
      <c r="A366" s="1" t="s">
        <v>1367</v>
      </c>
      <c r="B366" s="1" t="s">
        <v>1810</v>
      </c>
      <c r="C366">
        <v>45</v>
      </c>
      <c r="D366" s="1" t="s">
        <v>8</v>
      </c>
      <c r="E366" s="1" t="s">
        <v>189</v>
      </c>
      <c r="F366" s="14">
        <v>44058</v>
      </c>
      <c r="G366" s="13" t="str">
        <f t="shared" si="25"/>
        <v>Saturday</v>
      </c>
      <c r="H366" s="13" t="str">
        <f t="shared" si="26"/>
        <v>August</v>
      </c>
      <c r="I366" s="6">
        <v>491.25198529020702</v>
      </c>
      <c r="J366" s="6" t="str">
        <f t="shared" si="27"/>
        <v>Recorded</v>
      </c>
      <c r="K366" t="s">
        <v>1918</v>
      </c>
      <c r="L366" t="str">
        <f t="shared" si="29"/>
        <v>Regular</v>
      </c>
      <c r="M366" t="str">
        <f t="shared" si="28"/>
        <v>India</v>
      </c>
    </row>
    <row r="367" spans="1:13" ht="15.75" x14ac:dyDescent="0.3">
      <c r="A367" s="1" t="s">
        <v>1368</v>
      </c>
      <c r="B367" s="1" t="s">
        <v>1811</v>
      </c>
      <c r="C367">
        <v>30</v>
      </c>
      <c r="D367" s="1" t="s">
        <v>8</v>
      </c>
      <c r="E367" s="1" t="s">
        <v>189</v>
      </c>
      <c r="F367" s="13">
        <v>45135</v>
      </c>
      <c r="G367" s="13" t="str">
        <f t="shared" si="25"/>
        <v>Friday</v>
      </c>
      <c r="H367" s="13" t="str">
        <f t="shared" si="26"/>
        <v>July</v>
      </c>
      <c r="I367" s="6">
        <v>1500</v>
      </c>
      <c r="J367" s="6" t="str">
        <f t="shared" si="27"/>
        <v>Recorded</v>
      </c>
      <c r="K367" t="s">
        <v>1922</v>
      </c>
      <c r="L367" t="str">
        <f t="shared" si="29"/>
        <v>Regular</v>
      </c>
      <c r="M367" t="str">
        <f t="shared" si="28"/>
        <v>Not Provided</v>
      </c>
    </row>
    <row r="368" spans="1:13" ht="15.75" x14ac:dyDescent="0.3">
      <c r="A368" s="1" t="s">
        <v>1369</v>
      </c>
      <c r="B368" s="1" t="s">
        <v>1812</v>
      </c>
      <c r="C368">
        <v>30</v>
      </c>
      <c r="D368" s="1" t="s">
        <v>8</v>
      </c>
      <c r="E368" s="1" t="s">
        <v>189</v>
      </c>
      <c r="F368" s="13">
        <v>42047</v>
      </c>
      <c r="G368" s="13" t="str">
        <f t="shared" si="25"/>
        <v>Thursday</v>
      </c>
      <c r="H368" s="13" t="str">
        <f t="shared" si="26"/>
        <v>February</v>
      </c>
      <c r="I368" s="6">
        <v>9500</v>
      </c>
      <c r="J368" s="6" t="str">
        <f t="shared" si="27"/>
        <v>Recorded</v>
      </c>
      <c r="K368" t="s">
        <v>1917</v>
      </c>
      <c r="L368" t="str">
        <f t="shared" si="29"/>
        <v>Regular</v>
      </c>
      <c r="M368" t="str">
        <f t="shared" si="28"/>
        <v>Lagos</v>
      </c>
    </row>
    <row r="369" spans="1:13" ht="15.75" x14ac:dyDescent="0.3">
      <c r="A369" s="1" t="s">
        <v>1370</v>
      </c>
      <c r="B369" s="1" t="s">
        <v>1813</v>
      </c>
      <c r="C369">
        <v>20</v>
      </c>
      <c r="D369" s="1" t="s">
        <v>8</v>
      </c>
      <c r="E369" s="1" t="s">
        <v>189</v>
      </c>
      <c r="F369" s="13">
        <v>35949</v>
      </c>
      <c r="G369" s="13" t="str">
        <f t="shared" si="25"/>
        <v>Wednesday</v>
      </c>
      <c r="H369" s="13" t="str">
        <f t="shared" si="26"/>
        <v>June</v>
      </c>
      <c r="I369" s="6">
        <v>9810.3021037234394</v>
      </c>
      <c r="J369" s="6" t="str">
        <f t="shared" si="27"/>
        <v>Recorded</v>
      </c>
      <c r="K369" t="s">
        <v>1922</v>
      </c>
      <c r="L369" t="str">
        <f t="shared" si="29"/>
        <v>Regular</v>
      </c>
      <c r="M369" t="str">
        <f t="shared" si="28"/>
        <v>Not Provided</v>
      </c>
    </row>
    <row r="370" spans="1:13" ht="15.75" x14ac:dyDescent="0.3">
      <c r="A370" s="1" t="s">
        <v>1371</v>
      </c>
      <c r="B370" s="1" t="s">
        <v>1814</v>
      </c>
      <c r="C370">
        <v>30</v>
      </c>
      <c r="D370" s="1" t="s">
        <v>8</v>
      </c>
      <c r="E370" s="1" t="s">
        <v>1915</v>
      </c>
      <c r="F370" s="13">
        <v>31869</v>
      </c>
      <c r="G370" s="13" t="str">
        <f t="shared" si="25"/>
        <v>Thursday</v>
      </c>
      <c r="H370" s="13" t="str">
        <f t="shared" si="26"/>
        <v>April</v>
      </c>
      <c r="I370" s="6">
        <v>308.34884938781101</v>
      </c>
      <c r="J370" s="6" t="str">
        <f t="shared" si="27"/>
        <v>Recorded</v>
      </c>
      <c r="K370" t="s">
        <v>1916</v>
      </c>
      <c r="L370" t="str">
        <f t="shared" si="29"/>
        <v>Regular</v>
      </c>
      <c r="M370" t="str">
        <f t="shared" si="28"/>
        <v>South Africa</v>
      </c>
    </row>
    <row r="371" spans="1:13" ht="15.75" x14ac:dyDescent="0.3">
      <c r="A371" s="1" t="s">
        <v>1372</v>
      </c>
      <c r="B371" s="1" t="s">
        <v>1815</v>
      </c>
      <c r="C371">
        <v>30</v>
      </c>
      <c r="D371" s="1" t="s">
        <v>5</v>
      </c>
      <c r="E371" s="1" t="s">
        <v>1915</v>
      </c>
      <c r="F371" s="13">
        <v>33207</v>
      </c>
      <c r="G371" s="13" t="str">
        <f t="shared" si="25"/>
        <v>Friday</v>
      </c>
      <c r="H371" s="13" t="str">
        <f t="shared" si="26"/>
        <v>November</v>
      </c>
      <c r="I371" s="6">
        <v>7500</v>
      </c>
      <c r="J371" s="6" t="str">
        <f t="shared" si="27"/>
        <v>Recorded</v>
      </c>
      <c r="K371" t="s">
        <v>1916</v>
      </c>
      <c r="L371" t="str">
        <f t="shared" si="29"/>
        <v>Regular</v>
      </c>
      <c r="M371" t="str">
        <f t="shared" si="28"/>
        <v>South Africa</v>
      </c>
    </row>
    <row r="372" spans="1:13" ht="15.75" x14ac:dyDescent="0.3">
      <c r="A372" s="1" t="s">
        <v>1373</v>
      </c>
      <c r="B372" s="1" t="s">
        <v>1816</v>
      </c>
      <c r="C372">
        <v>30</v>
      </c>
      <c r="D372" s="1" t="s">
        <v>5</v>
      </c>
      <c r="E372" s="1" t="s">
        <v>1915</v>
      </c>
      <c r="F372" s="14">
        <v>43490</v>
      </c>
      <c r="G372" s="13" t="str">
        <f t="shared" si="25"/>
        <v>Friday</v>
      </c>
      <c r="H372" s="13" t="str">
        <f t="shared" si="26"/>
        <v>January</v>
      </c>
      <c r="I372" s="6">
        <v>9500</v>
      </c>
      <c r="J372" s="6" t="str">
        <f t="shared" si="27"/>
        <v>Recorded</v>
      </c>
      <c r="K372" t="s">
        <v>1922</v>
      </c>
      <c r="L372" t="str">
        <f t="shared" si="29"/>
        <v>Regular</v>
      </c>
      <c r="M372" t="str">
        <f t="shared" si="28"/>
        <v>Not Provided</v>
      </c>
    </row>
    <row r="373" spans="1:13" ht="15.75" x14ac:dyDescent="0.3">
      <c r="A373" s="1" t="s">
        <v>1374</v>
      </c>
      <c r="B373" s="1" t="s">
        <v>1817</v>
      </c>
      <c r="C373">
        <v>30</v>
      </c>
      <c r="D373" s="1" t="s">
        <v>8</v>
      </c>
      <c r="E373" s="1" t="s">
        <v>1915</v>
      </c>
      <c r="F373" s="14">
        <v>44428</v>
      </c>
      <c r="G373" s="13" t="str">
        <f t="shared" si="25"/>
        <v>Friday</v>
      </c>
      <c r="H373" s="13" t="str">
        <f t="shared" si="26"/>
        <v>August</v>
      </c>
      <c r="I373" s="6">
        <v>13000</v>
      </c>
      <c r="J373" s="6" t="str">
        <f t="shared" si="27"/>
        <v>Recorded</v>
      </c>
      <c r="K373" t="s">
        <v>1922</v>
      </c>
      <c r="L373" t="str">
        <f t="shared" si="29"/>
        <v>High value</v>
      </c>
      <c r="M373" t="str">
        <f t="shared" si="28"/>
        <v>Not Provided</v>
      </c>
    </row>
    <row r="374" spans="1:13" ht="15.75" x14ac:dyDescent="0.3">
      <c r="A374" s="1" t="s">
        <v>1375</v>
      </c>
      <c r="B374" s="1" t="s">
        <v>1818</v>
      </c>
      <c r="C374">
        <v>20</v>
      </c>
      <c r="D374" s="1" t="s">
        <v>8</v>
      </c>
      <c r="E374" s="1" t="s">
        <v>189</v>
      </c>
      <c r="F374" s="13">
        <v>42007</v>
      </c>
      <c r="G374" s="13" t="str">
        <f t="shared" si="25"/>
        <v>Saturday</v>
      </c>
      <c r="H374" s="13" t="str">
        <f t="shared" si="26"/>
        <v>January</v>
      </c>
      <c r="I374" s="6">
        <v>359.97713098893701</v>
      </c>
      <c r="J374" s="6" t="str">
        <f t="shared" si="27"/>
        <v>Recorded</v>
      </c>
      <c r="K374" t="s">
        <v>1922</v>
      </c>
      <c r="L374" t="str">
        <f t="shared" si="29"/>
        <v>Regular</v>
      </c>
      <c r="M374" t="str">
        <f t="shared" si="28"/>
        <v>Not Provided</v>
      </c>
    </row>
    <row r="375" spans="1:13" ht="15.75" x14ac:dyDescent="0.3">
      <c r="A375" s="1" t="s">
        <v>1376</v>
      </c>
      <c r="B375" s="1" t="s">
        <v>1819</v>
      </c>
      <c r="C375">
        <v>60</v>
      </c>
      <c r="D375" s="1" t="s">
        <v>8</v>
      </c>
      <c r="E375" s="1" t="s">
        <v>189</v>
      </c>
      <c r="F375" s="13">
        <v>42135</v>
      </c>
      <c r="G375" s="13" t="str">
        <f t="shared" si="25"/>
        <v>Monday</v>
      </c>
      <c r="H375" s="13" t="str">
        <f t="shared" si="26"/>
        <v>May</v>
      </c>
      <c r="I375" s="6">
        <v>2903.4006600949201</v>
      </c>
      <c r="J375" s="6" t="str">
        <f t="shared" si="27"/>
        <v>Recorded</v>
      </c>
      <c r="K375" t="s">
        <v>1919</v>
      </c>
      <c r="L375" t="str">
        <f t="shared" si="29"/>
        <v>Regular</v>
      </c>
      <c r="M375" t="str">
        <f t="shared" si="28"/>
        <v>Spain</v>
      </c>
    </row>
    <row r="376" spans="1:13" ht="15.75" x14ac:dyDescent="0.3">
      <c r="A376" s="1" t="s">
        <v>1377</v>
      </c>
      <c r="B376" s="1" t="s">
        <v>1820</v>
      </c>
      <c r="C376">
        <v>20</v>
      </c>
      <c r="D376" s="1" t="s">
        <v>5</v>
      </c>
      <c r="E376" s="1" t="s">
        <v>189</v>
      </c>
      <c r="F376" s="14">
        <v>44238</v>
      </c>
      <c r="G376" s="13" t="str">
        <f t="shared" si="25"/>
        <v>Thursday</v>
      </c>
      <c r="H376" s="13" t="str">
        <f t="shared" si="26"/>
        <v>February</v>
      </c>
      <c r="I376" s="6"/>
      <c r="J376" s="6" t="str">
        <f t="shared" si="27"/>
        <v>Not Recorded</v>
      </c>
      <c r="K376" t="s">
        <v>1922</v>
      </c>
      <c r="L376" t="str">
        <f t="shared" si="29"/>
        <v>Regular</v>
      </c>
      <c r="M376" t="str">
        <f t="shared" si="28"/>
        <v>Not Provided</v>
      </c>
    </row>
    <row r="377" spans="1:13" ht="15.75" x14ac:dyDescent="0.3">
      <c r="A377" s="1" t="s">
        <v>1378</v>
      </c>
      <c r="B377" s="1" t="s">
        <v>1821</v>
      </c>
      <c r="C377">
        <v>20</v>
      </c>
      <c r="D377" s="1" t="s">
        <v>5</v>
      </c>
      <c r="E377" s="1" t="s">
        <v>189</v>
      </c>
      <c r="F377" s="13">
        <v>43874</v>
      </c>
      <c r="G377" s="13" t="str">
        <f t="shared" si="25"/>
        <v>Thursday</v>
      </c>
      <c r="H377" s="13" t="str">
        <f t="shared" si="26"/>
        <v>February</v>
      </c>
      <c r="I377" s="6">
        <v>663.36226434909599</v>
      </c>
      <c r="J377" s="6" t="str">
        <f t="shared" si="27"/>
        <v>Recorded</v>
      </c>
      <c r="K377" t="s">
        <v>1922</v>
      </c>
      <c r="L377" t="str">
        <f t="shared" si="29"/>
        <v>Regular</v>
      </c>
      <c r="M377" t="str">
        <f t="shared" si="28"/>
        <v>Not Provided</v>
      </c>
    </row>
    <row r="378" spans="1:13" ht="15.75" x14ac:dyDescent="0.3">
      <c r="A378" s="1" t="s">
        <v>1379</v>
      </c>
      <c r="B378" s="1" t="s">
        <v>1822</v>
      </c>
      <c r="C378">
        <v>30</v>
      </c>
      <c r="D378" s="1" t="s">
        <v>5</v>
      </c>
      <c r="E378" s="1" t="s">
        <v>1915</v>
      </c>
      <c r="F378" s="13">
        <v>43326</v>
      </c>
      <c r="G378" s="13" t="str">
        <f t="shared" si="25"/>
        <v>Tuesday</v>
      </c>
      <c r="H378" s="13" t="str">
        <f t="shared" si="26"/>
        <v>August</v>
      </c>
      <c r="I378" s="6">
        <v>6989.9171180343901</v>
      </c>
      <c r="J378" s="6" t="str">
        <f t="shared" si="27"/>
        <v>Recorded</v>
      </c>
      <c r="K378" t="s">
        <v>1917</v>
      </c>
      <c r="L378" t="str">
        <f t="shared" si="29"/>
        <v>Regular</v>
      </c>
      <c r="M378" t="str">
        <f t="shared" si="28"/>
        <v>Lagos</v>
      </c>
    </row>
    <row r="379" spans="1:13" ht="15.75" x14ac:dyDescent="0.3">
      <c r="A379" s="1" t="s">
        <v>1380</v>
      </c>
      <c r="B379" s="1" t="s">
        <v>1823</v>
      </c>
      <c r="C379">
        <v>30</v>
      </c>
      <c r="D379" s="1" t="s">
        <v>8</v>
      </c>
      <c r="E379" s="1" t="s">
        <v>1915</v>
      </c>
      <c r="F379" s="13">
        <v>39296</v>
      </c>
      <c r="G379" s="13" t="str">
        <f t="shared" si="25"/>
        <v>Thursday</v>
      </c>
      <c r="H379" s="13" t="str">
        <f t="shared" si="26"/>
        <v>August</v>
      </c>
      <c r="I379" s="6">
        <v>1500</v>
      </c>
      <c r="J379" s="6" t="str">
        <f t="shared" si="27"/>
        <v>Recorded</v>
      </c>
      <c r="K379" t="s">
        <v>1919</v>
      </c>
      <c r="L379" t="str">
        <f t="shared" si="29"/>
        <v>Regular</v>
      </c>
      <c r="M379" t="str">
        <f t="shared" si="28"/>
        <v>Spain</v>
      </c>
    </row>
    <row r="380" spans="1:13" ht="15.75" x14ac:dyDescent="0.3">
      <c r="A380" s="1" t="s">
        <v>1381</v>
      </c>
      <c r="B380" s="1" t="s">
        <v>1824</v>
      </c>
      <c r="C380">
        <v>30</v>
      </c>
      <c r="D380" s="1" t="s">
        <v>5</v>
      </c>
      <c r="E380" s="1" t="s">
        <v>189</v>
      </c>
      <c r="F380" s="14">
        <v>44211</v>
      </c>
      <c r="G380" s="13" t="str">
        <f t="shared" si="25"/>
        <v>Friday</v>
      </c>
      <c r="H380" s="13" t="str">
        <f t="shared" si="26"/>
        <v>January</v>
      </c>
      <c r="I380" s="6">
        <v>430.43241699550202</v>
      </c>
      <c r="J380" s="6" t="str">
        <f t="shared" si="27"/>
        <v>Recorded</v>
      </c>
      <c r="K380" t="s">
        <v>1918</v>
      </c>
      <c r="L380" t="str">
        <f t="shared" si="29"/>
        <v>Regular</v>
      </c>
      <c r="M380" t="str">
        <f t="shared" si="28"/>
        <v>India</v>
      </c>
    </row>
    <row r="381" spans="1:13" ht="15.75" x14ac:dyDescent="0.3">
      <c r="A381" s="1" t="s">
        <v>1382</v>
      </c>
      <c r="B381" s="1" t="s">
        <v>1825</v>
      </c>
      <c r="C381">
        <v>24</v>
      </c>
      <c r="D381" s="1" t="s">
        <v>8</v>
      </c>
      <c r="E381" s="1" t="s">
        <v>189</v>
      </c>
      <c r="F381" s="13">
        <v>45299</v>
      </c>
      <c r="G381" s="13" t="str">
        <f t="shared" si="25"/>
        <v>Monday</v>
      </c>
      <c r="H381" s="13" t="str">
        <f t="shared" si="26"/>
        <v>January</v>
      </c>
      <c r="I381" s="6">
        <v>9500</v>
      </c>
      <c r="J381" s="6" t="str">
        <f t="shared" si="27"/>
        <v>Recorded</v>
      </c>
      <c r="K381" t="s">
        <v>1919</v>
      </c>
      <c r="L381" t="str">
        <f t="shared" si="29"/>
        <v>Regular</v>
      </c>
      <c r="M381" t="str">
        <f t="shared" si="28"/>
        <v>Spain</v>
      </c>
    </row>
    <row r="382" spans="1:13" ht="15.75" x14ac:dyDescent="0.3">
      <c r="A382" s="1" t="s">
        <v>1382</v>
      </c>
      <c r="B382" s="1" t="s">
        <v>1825</v>
      </c>
      <c r="C382">
        <v>30</v>
      </c>
      <c r="D382" s="1" t="s">
        <v>8</v>
      </c>
      <c r="E382" s="1" t="s">
        <v>189</v>
      </c>
      <c r="F382" s="13">
        <v>45299</v>
      </c>
      <c r="G382" s="13" t="str">
        <f t="shared" si="25"/>
        <v>Monday</v>
      </c>
      <c r="H382" s="13" t="str">
        <f t="shared" si="26"/>
        <v>January</v>
      </c>
      <c r="I382" s="6">
        <v>9500</v>
      </c>
      <c r="J382" s="6" t="str">
        <f t="shared" si="27"/>
        <v>Recorded</v>
      </c>
      <c r="K382" t="s">
        <v>1922</v>
      </c>
      <c r="L382" t="str">
        <f t="shared" si="29"/>
        <v>Regular</v>
      </c>
      <c r="M382" t="str">
        <f t="shared" si="28"/>
        <v>Spain</v>
      </c>
    </row>
    <row r="383" spans="1:13" ht="15.75" x14ac:dyDescent="0.3">
      <c r="A383" s="1" t="s">
        <v>1383</v>
      </c>
      <c r="B383" s="1" t="s">
        <v>1826</v>
      </c>
      <c r="C383">
        <v>20</v>
      </c>
      <c r="D383" s="1" t="s">
        <v>5</v>
      </c>
      <c r="E383" s="1" t="s">
        <v>189</v>
      </c>
      <c r="F383" s="13">
        <v>35510</v>
      </c>
      <c r="G383" s="13" t="str">
        <f t="shared" si="25"/>
        <v>Friday</v>
      </c>
      <c r="H383" s="13" t="str">
        <f t="shared" si="26"/>
        <v>March</v>
      </c>
      <c r="I383" s="6">
        <v>1000</v>
      </c>
      <c r="J383" s="6" t="str">
        <f t="shared" si="27"/>
        <v>Recorded</v>
      </c>
      <c r="K383" t="s">
        <v>1918</v>
      </c>
      <c r="L383" t="str">
        <f t="shared" si="29"/>
        <v>Regular</v>
      </c>
      <c r="M383" t="str">
        <f t="shared" si="28"/>
        <v>India</v>
      </c>
    </row>
    <row r="384" spans="1:13" ht="15.75" x14ac:dyDescent="0.3">
      <c r="A384" s="1" t="s">
        <v>1383</v>
      </c>
      <c r="B384" s="1" t="s">
        <v>1826</v>
      </c>
      <c r="C384">
        <v>20</v>
      </c>
      <c r="D384" s="1" t="s">
        <v>5</v>
      </c>
      <c r="E384" s="1" t="s">
        <v>189</v>
      </c>
      <c r="F384" s="13">
        <v>35510</v>
      </c>
      <c r="G384" s="13" t="str">
        <f t="shared" si="25"/>
        <v>Friday</v>
      </c>
      <c r="H384" s="13" t="str">
        <f t="shared" si="26"/>
        <v>March</v>
      </c>
      <c r="I384" s="6"/>
      <c r="J384" s="6" t="str">
        <f t="shared" si="27"/>
        <v>Not Recorded</v>
      </c>
      <c r="K384" t="s">
        <v>1918</v>
      </c>
      <c r="L384" t="str">
        <f t="shared" si="29"/>
        <v>Regular</v>
      </c>
      <c r="M384" t="str">
        <f t="shared" si="28"/>
        <v>India</v>
      </c>
    </row>
    <row r="385" spans="1:13" ht="15.75" x14ac:dyDescent="0.3">
      <c r="A385" s="1" t="s">
        <v>1383</v>
      </c>
      <c r="B385" s="1" t="s">
        <v>1826</v>
      </c>
      <c r="C385">
        <v>32</v>
      </c>
      <c r="D385" s="1" t="s">
        <v>5</v>
      </c>
      <c r="E385" s="1" t="s">
        <v>189</v>
      </c>
      <c r="F385" s="13">
        <v>35510</v>
      </c>
      <c r="G385" s="13" t="str">
        <f t="shared" si="25"/>
        <v>Friday</v>
      </c>
      <c r="H385" s="13" t="str">
        <f t="shared" si="26"/>
        <v>March</v>
      </c>
      <c r="I385" s="6"/>
      <c r="J385" s="6" t="str">
        <f t="shared" si="27"/>
        <v>Not Recorded</v>
      </c>
      <c r="K385" t="s">
        <v>1916</v>
      </c>
      <c r="L385" t="str">
        <f t="shared" si="29"/>
        <v>Regular</v>
      </c>
      <c r="M385" t="str">
        <f t="shared" si="28"/>
        <v>India</v>
      </c>
    </row>
    <row r="386" spans="1:13" ht="15.75" x14ac:dyDescent="0.3">
      <c r="A386" s="1" t="s">
        <v>1384</v>
      </c>
      <c r="B386" s="1" t="s">
        <v>1827</v>
      </c>
      <c r="C386">
        <v>30</v>
      </c>
      <c r="D386" s="1" t="s">
        <v>8</v>
      </c>
      <c r="E386" s="1" t="s">
        <v>1915</v>
      </c>
      <c r="F386" s="13">
        <v>42685</v>
      </c>
      <c r="G386" s="13" t="str">
        <f t="shared" si="25"/>
        <v>Friday</v>
      </c>
      <c r="H386" s="13" t="str">
        <f t="shared" si="26"/>
        <v>November</v>
      </c>
      <c r="I386" s="6">
        <v>268.073967615838</v>
      </c>
      <c r="J386" s="6" t="str">
        <f t="shared" si="27"/>
        <v>Recorded</v>
      </c>
      <c r="K386" t="s">
        <v>1916</v>
      </c>
      <c r="L386" t="str">
        <f t="shared" si="29"/>
        <v>Regular</v>
      </c>
      <c r="M386" t="str">
        <f t="shared" si="28"/>
        <v>South Africa</v>
      </c>
    </row>
    <row r="387" spans="1:13" ht="15.75" x14ac:dyDescent="0.3">
      <c r="A387" s="1" t="s">
        <v>1385</v>
      </c>
      <c r="B387" s="1" t="s">
        <v>1828</v>
      </c>
      <c r="C387">
        <v>20</v>
      </c>
      <c r="D387" s="1" t="s">
        <v>8</v>
      </c>
      <c r="E387" s="1" t="s">
        <v>189</v>
      </c>
      <c r="F387" s="13">
        <v>43747</v>
      </c>
      <c r="G387" s="13" t="str">
        <f t="shared" ref="G387:G450" si="30">TEXT(F387,"DDDD")</f>
        <v>Wednesday</v>
      </c>
      <c r="H387" s="13" t="str">
        <f t="shared" ref="H387:H450" si="31">TEXT(F387,"MMMM")</f>
        <v>October</v>
      </c>
      <c r="I387" s="6">
        <v>1500</v>
      </c>
      <c r="J387" s="6" t="str">
        <f t="shared" ref="J387:J450" si="32">IF(LEN(TRIM(I387))=0,"Not Recorded","Recorded")</f>
        <v>Recorded</v>
      </c>
      <c r="K387" t="s">
        <v>1917</v>
      </c>
      <c r="L387" t="str">
        <f t="shared" si="29"/>
        <v>Regular</v>
      </c>
      <c r="M387" t="str">
        <f t="shared" ref="M387:M450" si="33">_xlfn.XLOOKUP(A387,A:A,K:K,"Not Provided",0)</f>
        <v>Lagos</v>
      </c>
    </row>
    <row r="388" spans="1:13" ht="15.75" x14ac:dyDescent="0.3">
      <c r="A388" s="1" t="s">
        <v>1386</v>
      </c>
      <c r="B388" s="1" t="s">
        <v>1829</v>
      </c>
      <c r="C388">
        <v>20</v>
      </c>
      <c r="D388" s="1" t="s">
        <v>5</v>
      </c>
      <c r="E388" s="1" t="s">
        <v>1915</v>
      </c>
      <c r="F388" s="14">
        <v>44033</v>
      </c>
      <c r="G388" s="13" t="str">
        <f t="shared" si="30"/>
        <v>Tuesday</v>
      </c>
      <c r="H388" s="13" t="str">
        <f t="shared" si="31"/>
        <v>July</v>
      </c>
      <c r="I388" s="6">
        <v>2500.9726636466798</v>
      </c>
      <c r="J388" s="6" t="str">
        <f t="shared" si="32"/>
        <v>Recorded</v>
      </c>
      <c r="K388" t="s">
        <v>1919</v>
      </c>
      <c r="L388" t="str">
        <f t="shared" ref="L388:L451" si="34">IF(I388&gt;10000,"High value","Regular")</f>
        <v>Regular</v>
      </c>
      <c r="M388" t="str">
        <f t="shared" si="33"/>
        <v>Spain</v>
      </c>
    </row>
    <row r="389" spans="1:13" ht="15.75" x14ac:dyDescent="0.3">
      <c r="A389" s="1" t="s">
        <v>1387</v>
      </c>
      <c r="B389" s="1" t="s">
        <v>1830</v>
      </c>
      <c r="C389">
        <v>20</v>
      </c>
      <c r="D389" s="1" t="s">
        <v>5</v>
      </c>
      <c r="E389" s="1" t="s">
        <v>1915</v>
      </c>
      <c r="F389" s="13">
        <v>37492</v>
      </c>
      <c r="G389" s="13" t="str">
        <f t="shared" si="30"/>
        <v>Saturday</v>
      </c>
      <c r="H389" s="13" t="str">
        <f t="shared" si="31"/>
        <v>August</v>
      </c>
      <c r="I389" s="6">
        <v>9500</v>
      </c>
      <c r="J389" s="6" t="str">
        <f t="shared" si="32"/>
        <v>Recorded</v>
      </c>
      <c r="K389" t="s">
        <v>1919</v>
      </c>
      <c r="L389" t="str">
        <f t="shared" si="34"/>
        <v>Regular</v>
      </c>
      <c r="M389" t="str">
        <f t="shared" si="33"/>
        <v>Spain</v>
      </c>
    </row>
    <row r="390" spans="1:13" ht="15.75" x14ac:dyDescent="0.3">
      <c r="A390" s="1" t="s">
        <v>1388</v>
      </c>
      <c r="B390" s="1" t="s">
        <v>1831</v>
      </c>
      <c r="C390">
        <v>20</v>
      </c>
      <c r="D390" s="1" t="s">
        <v>5</v>
      </c>
      <c r="E390" s="1" t="s">
        <v>1915</v>
      </c>
      <c r="F390" s="13">
        <v>45555</v>
      </c>
      <c r="G390" s="13" t="str">
        <f t="shared" si="30"/>
        <v>Friday</v>
      </c>
      <c r="H390" s="13" t="str">
        <f t="shared" si="31"/>
        <v>September</v>
      </c>
      <c r="I390" s="6">
        <v>6163.97775606916</v>
      </c>
      <c r="J390" s="6" t="str">
        <f t="shared" si="32"/>
        <v>Recorded</v>
      </c>
      <c r="K390" t="s">
        <v>1922</v>
      </c>
      <c r="L390" t="str">
        <f t="shared" si="34"/>
        <v>Regular</v>
      </c>
      <c r="M390" t="str">
        <f t="shared" si="33"/>
        <v>Not Provided</v>
      </c>
    </row>
    <row r="391" spans="1:13" ht="15.75" x14ac:dyDescent="0.3">
      <c r="A391" s="1" t="s">
        <v>1389</v>
      </c>
      <c r="B391" s="1" t="s">
        <v>1832</v>
      </c>
      <c r="C391">
        <v>53</v>
      </c>
      <c r="D391" s="1" t="s">
        <v>5</v>
      </c>
      <c r="E391" s="1" t="s">
        <v>189</v>
      </c>
      <c r="F391" s="14">
        <v>44479</v>
      </c>
      <c r="G391" s="13" t="str">
        <f t="shared" si="30"/>
        <v>Sunday</v>
      </c>
      <c r="H391" s="13" t="str">
        <f t="shared" si="31"/>
        <v>October</v>
      </c>
      <c r="I391" s="6">
        <v>1500</v>
      </c>
      <c r="J391" s="6" t="str">
        <f t="shared" si="32"/>
        <v>Recorded</v>
      </c>
      <c r="K391" t="s">
        <v>1922</v>
      </c>
      <c r="L391" t="str">
        <f t="shared" si="34"/>
        <v>Regular</v>
      </c>
      <c r="M391" t="str">
        <f t="shared" si="33"/>
        <v>Not Provided</v>
      </c>
    </row>
    <row r="392" spans="1:13" ht="15.75" x14ac:dyDescent="0.3">
      <c r="A392" s="1" t="s">
        <v>1390</v>
      </c>
      <c r="B392" s="1" t="s">
        <v>1833</v>
      </c>
      <c r="C392">
        <v>20</v>
      </c>
      <c r="D392" s="1" t="s">
        <v>8</v>
      </c>
      <c r="E392" s="1" t="s">
        <v>1915</v>
      </c>
      <c r="F392" s="14">
        <v>44238</v>
      </c>
      <c r="G392" s="13" t="str">
        <f t="shared" si="30"/>
        <v>Thursday</v>
      </c>
      <c r="H392" s="13" t="str">
        <f t="shared" si="31"/>
        <v>February</v>
      </c>
      <c r="I392" s="6">
        <v>420.045319673412</v>
      </c>
      <c r="J392" s="6" t="str">
        <f t="shared" si="32"/>
        <v>Recorded</v>
      </c>
      <c r="K392" t="s">
        <v>1917</v>
      </c>
      <c r="L392" t="str">
        <f t="shared" si="34"/>
        <v>Regular</v>
      </c>
      <c r="M392" t="str">
        <f t="shared" si="33"/>
        <v>Lagos</v>
      </c>
    </row>
    <row r="393" spans="1:13" ht="15.75" x14ac:dyDescent="0.3">
      <c r="A393" s="1" t="s">
        <v>1391</v>
      </c>
      <c r="B393" s="1" t="s">
        <v>1834</v>
      </c>
      <c r="C393">
        <v>20</v>
      </c>
      <c r="D393" s="1" t="s">
        <v>5</v>
      </c>
      <c r="E393" s="1" t="s">
        <v>189</v>
      </c>
      <c r="F393" s="13">
        <v>44662</v>
      </c>
      <c r="G393" s="13" t="str">
        <f t="shared" si="30"/>
        <v>Monday</v>
      </c>
      <c r="H393" s="13" t="str">
        <f t="shared" si="31"/>
        <v>April</v>
      </c>
      <c r="I393" s="6">
        <v>840</v>
      </c>
      <c r="J393" s="6" t="str">
        <f t="shared" si="32"/>
        <v>Recorded</v>
      </c>
      <c r="K393" t="s">
        <v>1918</v>
      </c>
      <c r="L393" t="str">
        <f t="shared" si="34"/>
        <v>Regular</v>
      </c>
      <c r="M393" t="str">
        <f t="shared" si="33"/>
        <v>India</v>
      </c>
    </row>
    <row r="394" spans="1:13" ht="15.75" x14ac:dyDescent="0.3">
      <c r="A394" s="1" t="s">
        <v>1392</v>
      </c>
      <c r="B394" s="1" t="s">
        <v>1835</v>
      </c>
      <c r="C394">
        <v>20</v>
      </c>
      <c r="D394" s="1" t="s">
        <v>8</v>
      </c>
      <c r="E394" s="1" t="s">
        <v>1915</v>
      </c>
      <c r="F394" s="13">
        <v>44521</v>
      </c>
      <c r="G394" s="13" t="str">
        <f t="shared" si="30"/>
        <v>Sunday</v>
      </c>
      <c r="H394" s="13" t="str">
        <f t="shared" si="31"/>
        <v>November</v>
      </c>
      <c r="I394" s="6">
        <v>2500</v>
      </c>
      <c r="J394" s="6" t="str">
        <f t="shared" si="32"/>
        <v>Recorded</v>
      </c>
      <c r="K394" t="s">
        <v>1922</v>
      </c>
      <c r="L394" t="str">
        <f t="shared" si="34"/>
        <v>Regular</v>
      </c>
      <c r="M394" t="str">
        <f t="shared" si="33"/>
        <v>Not Provided</v>
      </c>
    </row>
    <row r="395" spans="1:13" ht="15.75" x14ac:dyDescent="0.3">
      <c r="A395" s="1" t="s">
        <v>1393</v>
      </c>
      <c r="B395" s="1" t="s">
        <v>1836</v>
      </c>
      <c r="C395">
        <v>20</v>
      </c>
      <c r="D395" s="1" t="s">
        <v>5</v>
      </c>
      <c r="E395" s="1" t="s">
        <v>1915</v>
      </c>
      <c r="F395" s="13">
        <v>32539</v>
      </c>
      <c r="G395" s="13" t="str">
        <f t="shared" si="30"/>
        <v>Tuesday</v>
      </c>
      <c r="H395" s="13" t="str">
        <f t="shared" si="31"/>
        <v>January</v>
      </c>
      <c r="I395" s="6">
        <v>5400</v>
      </c>
      <c r="J395" s="6" t="str">
        <f t="shared" si="32"/>
        <v>Recorded</v>
      </c>
      <c r="K395" t="s">
        <v>1922</v>
      </c>
      <c r="L395" t="str">
        <f t="shared" si="34"/>
        <v>Regular</v>
      </c>
      <c r="M395" t="str">
        <f t="shared" si="33"/>
        <v>Not Provided</v>
      </c>
    </row>
    <row r="396" spans="1:13" ht="15.75" x14ac:dyDescent="0.3">
      <c r="A396" s="1" t="s">
        <v>1394</v>
      </c>
      <c r="B396" s="1" t="s">
        <v>1837</v>
      </c>
      <c r="C396">
        <v>20</v>
      </c>
      <c r="D396" s="1" t="s">
        <v>5</v>
      </c>
      <c r="E396" s="1" t="s">
        <v>1915</v>
      </c>
      <c r="F396" s="13">
        <v>39011</v>
      </c>
      <c r="G396" s="13" t="str">
        <f t="shared" si="30"/>
        <v>Saturday</v>
      </c>
      <c r="H396" s="13" t="str">
        <f t="shared" si="31"/>
        <v>October</v>
      </c>
      <c r="I396" s="6">
        <v>278.88749449666398</v>
      </c>
      <c r="J396" s="6" t="str">
        <f t="shared" si="32"/>
        <v>Recorded</v>
      </c>
      <c r="K396" t="s">
        <v>1916</v>
      </c>
      <c r="L396" t="str">
        <f t="shared" si="34"/>
        <v>Regular</v>
      </c>
      <c r="M396" t="str">
        <f t="shared" si="33"/>
        <v>South Africa</v>
      </c>
    </row>
    <row r="397" spans="1:13" ht="15.75" x14ac:dyDescent="0.3">
      <c r="A397" s="1" t="s">
        <v>1395</v>
      </c>
      <c r="B397" s="1" t="s">
        <v>1838</v>
      </c>
      <c r="C397">
        <v>30</v>
      </c>
      <c r="D397" s="1" t="s">
        <v>5</v>
      </c>
      <c r="E397" s="1" t="s">
        <v>189</v>
      </c>
      <c r="F397" s="13">
        <v>41883</v>
      </c>
      <c r="G397" s="13" t="str">
        <f t="shared" si="30"/>
        <v>Monday</v>
      </c>
      <c r="H397" s="13" t="str">
        <f t="shared" si="31"/>
        <v>September</v>
      </c>
      <c r="I397" s="6">
        <v>6300</v>
      </c>
      <c r="J397" s="6" t="str">
        <f t="shared" si="32"/>
        <v>Recorded</v>
      </c>
      <c r="K397" t="s">
        <v>1918</v>
      </c>
      <c r="L397" t="str">
        <f t="shared" si="34"/>
        <v>Regular</v>
      </c>
      <c r="M397" t="str">
        <f t="shared" si="33"/>
        <v>India</v>
      </c>
    </row>
    <row r="398" spans="1:13" ht="15.75" x14ac:dyDescent="0.3">
      <c r="A398" s="1" t="s">
        <v>1396</v>
      </c>
      <c r="B398" s="1" t="s">
        <v>1839</v>
      </c>
      <c r="C398">
        <v>63</v>
      </c>
      <c r="D398" s="1" t="s">
        <v>5</v>
      </c>
      <c r="E398" s="1" t="s">
        <v>189</v>
      </c>
      <c r="F398" s="13">
        <v>40767</v>
      </c>
      <c r="G398" s="13" t="str">
        <f t="shared" si="30"/>
        <v>Friday</v>
      </c>
      <c r="H398" s="13" t="str">
        <f t="shared" si="31"/>
        <v>August</v>
      </c>
      <c r="I398" s="6">
        <v>374.47089828204901</v>
      </c>
      <c r="J398" s="6" t="str">
        <f t="shared" si="32"/>
        <v>Recorded</v>
      </c>
      <c r="K398" t="s">
        <v>1922</v>
      </c>
      <c r="L398" t="str">
        <f t="shared" si="34"/>
        <v>Regular</v>
      </c>
      <c r="M398" t="str">
        <f t="shared" si="33"/>
        <v>Not Provided</v>
      </c>
    </row>
    <row r="399" spans="1:13" ht="15.75" x14ac:dyDescent="0.3">
      <c r="A399" s="1" t="s">
        <v>1397</v>
      </c>
      <c r="B399" s="1" t="s">
        <v>1840</v>
      </c>
      <c r="C399">
        <v>39</v>
      </c>
      <c r="D399" s="1" t="s">
        <v>5</v>
      </c>
      <c r="E399" s="1" t="s">
        <v>1915</v>
      </c>
      <c r="F399" s="14">
        <v>44109</v>
      </c>
      <c r="G399" s="13" t="str">
        <f t="shared" si="30"/>
        <v>Monday</v>
      </c>
      <c r="H399" s="13" t="str">
        <f t="shared" si="31"/>
        <v>October</v>
      </c>
      <c r="I399" s="6">
        <v>1500</v>
      </c>
      <c r="J399" s="6" t="str">
        <f t="shared" si="32"/>
        <v>Recorded</v>
      </c>
      <c r="K399" t="s">
        <v>1917</v>
      </c>
      <c r="L399" t="str">
        <f t="shared" si="34"/>
        <v>Regular</v>
      </c>
      <c r="M399" t="str">
        <f t="shared" si="33"/>
        <v>Lagos</v>
      </c>
    </row>
    <row r="400" spans="1:13" ht="15.75" x14ac:dyDescent="0.3">
      <c r="A400" s="1" t="s">
        <v>1398</v>
      </c>
      <c r="B400" s="1" t="s">
        <v>1841</v>
      </c>
      <c r="C400">
        <v>30</v>
      </c>
      <c r="D400" s="1" t="s">
        <v>5</v>
      </c>
      <c r="E400" s="1" t="s">
        <v>1915</v>
      </c>
      <c r="F400" s="13">
        <v>26246</v>
      </c>
      <c r="G400" s="13" t="str">
        <f t="shared" si="30"/>
        <v>Tuesday</v>
      </c>
      <c r="H400" s="13" t="str">
        <f t="shared" si="31"/>
        <v>November</v>
      </c>
      <c r="I400" s="6">
        <v>3103.0946472095602</v>
      </c>
      <c r="J400" s="6" t="str">
        <f t="shared" si="32"/>
        <v>Recorded</v>
      </c>
      <c r="K400" t="s">
        <v>1918</v>
      </c>
      <c r="L400" t="str">
        <f t="shared" si="34"/>
        <v>Regular</v>
      </c>
      <c r="M400" t="str">
        <f t="shared" si="33"/>
        <v>India</v>
      </c>
    </row>
    <row r="401" spans="1:13" ht="15.75" x14ac:dyDescent="0.3">
      <c r="A401" s="1" t="s">
        <v>1399</v>
      </c>
      <c r="B401" s="1" t="s">
        <v>1842</v>
      </c>
      <c r="C401">
        <v>33</v>
      </c>
      <c r="D401" s="1" t="s">
        <v>5</v>
      </c>
      <c r="E401" s="1" t="s">
        <v>1915</v>
      </c>
      <c r="F401" s="13">
        <v>39217</v>
      </c>
      <c r="G401" s="13" t="str">
        <f t="shared" si="30"/>
        <v>Tuesday</v>
      </c>
      <c r="H401" s="13" t="str">
        <f t="shared" si="31"/>
        <v>May</v>
      </c>
      <c r="I401" s="6">
        <v>317.14524622461403</v>
      </c>
      <c r="J401" s="6" t="str">
        <f t="shared" si="32"/>
        <v>Recorded</v>
      </c>
      <c r="K401" t="s">
        <v>1922</v>
      </c>
      <c r="L401" t="str">
        <f t="shared" si="34"/>
        <v>Regular</v>
      </c>
      <c r="M401" t="str">
        <f t="shared" si="33"/>
        <v>Not Provided</v>
      </c>
    </row>
    <row r="402" spans="1:13" ht="15.75" x14ac:dyDescent="0.3">
      <c r="A402" s="1" t="s">
        <v>1400</v>
      </c>
      <c r="B402" s="1" t="s">
        <v>1843</v>
      </c>
      <c r="C402">
        <v>30</v>
      </c>
      <c r="D402" s="1" t="s">
        <v>8</v>
      </c>
      <c r="E402" s="1" t="s">
        <v>189</v>
      </c>
      <c r="F402" s="13">
        <v>40160</v>
      </c>
      <c r="G402" s="13" t="str">
        <f t="shared" si="30"/>
        <v>Sunday</v>
      </c>
      <c r="H402" s="13" t="str">
        <f t="shared" si="31"/>
        <v>December</v>
      </c>
      <c r="I402" s="6">
        <v>1500</v>
      </c>
      <c r="J402" s="6" t="str">
        <f t="shared" si="32"/>
        <v>Recorded</v>
      </c>
      <c r="K402" t="s">
        <v>1922</v>
      </c>
      <c r="L402" t="str">
        <f t="shared" si="34"/>
        <v>Regular</v>
      </c>
      <c r="M402" t="str">
        <f t="shared" si="33"/>
        <v>Not Provided</v>
      </c>
    </row>
    <row r="403" spans="1:13" ht="15.75" x14ac:dyDescent="0.3">
      <c r="A403" s="1" t="s">
        <v>1401</v>
      </c>
      <c r="B403" s="1" t="s">
        <v>1844</v>
      </c>
      <c r="C403">
        <v>20</v>
      </c>
      <c r="D403" s="1" t="s">
        <v>8</v>
      </c>
      <c r="E403" s="1" t="s">
        <v>1915</v>
      </c>
      <c r="F403" s="14">
        <v>44606</v>
      </c>
      <c r="G403" s="13" t="str">
        <f t="shared" si="30"/>
        <v>Monday</v>
      </c>
      <c r="H403" s="13" t="str">
        <f t="shared" si="31"/>
        <v>February</v>
      </c>
      <c r="I403" s="6">
        <v>9500</v>
      </c>
      <c r="J403" s="6" t="str">
        <f t="shared" si="32"/>
        <v>Recorded</v>
      </c>
      <c r="K403" t="s">
        <v>1916</v>
      </c>
      <c r="L403" t="str">
        <f t="shared" si="34"/>
        <v>Regular</v>
      </c>
      <c r="M403" t="str">
        <f t="shared" si="33"/>
        <v>South Africa</v>
      </c>
    </row>
    <row r="404" spans="1:13" ht="15.75" x14ac:dyDescent="0.3">
      <c r="A404" s="1" t="s">
        <v>1402</v>
      </c>
      <c r="B404" s="1" t="s">
        <v>1845</v>
      </c>
      <c r="C404">
        <v>30</v>
      </c>
      <c r="D404" s="1" t="s">
        <v>5</v>
      </c>
      <c r="E404" s="1" t="s">
        <v>189</v>
      </c>
      <c r="F404" s="13">
        <v>45300</v>
      </c>
      <c r="G404" s="13" t="str">
        <f t="shared" si="30"/>
        <v>Tuesday</v>
      </c>
      <c r="H404" s="13" t="str">
        <f t="shared" si="31"/>
        <v>January</v>
      </c>
      <c r="I404" s="6">
        <v>4.7349788780394197</v>
      </c>
      <c r="J404" s="6" t="str">
        <f t="shared" si="32"/>
        <v>Recorded</v>
      </c>
      <c r="K404" t="s">
        <v>1917</v>
      </c>
      <c r="L404" t="str">
        <f t="shared" si="34"/>
        <v>Regular</v>
      </c>
      <c r="M404" t="str">
        <f t="shared" si="33"/>
        <v>Lagos</v>
      </c>
    </row>
    <row r="405" spans="1:13" ht="15.75" x14ac:dyDescent="0.3">
      <c r="A405" s="1" t="s">
        <v>1403</v>
      </c>
      <c r="B405" s="1" t="s">
        <v>1846</v>
      </c>
      <c r="C405">
        <v>20</v>
      </c>
      <c r="D405" s="1" t="s">
        <v>8</v>
      </c>
      <c r="E405" s="1" t="s">
        <v>189</v>
      </c>
      <c r="F405" s="14">
        <v>44037</v>
      </c>
      <c r="G405" s="13" t="str">
        <f t="shared" si="30"/>
        <v>Saturday</v>
      </c>
      <c r="H405" s="13" t="str">
        <f t="shared" si="31"/>
        <v>July</v>
      </c>
      <c r="I405" s="6">
        <v>1379.9788345776501</v>
      </c>
      <c r="J405" s="6" t="str">
        <f t="shared" si="32"/>
        <v>Recorded</v>
      </c>
      <c r="K405" t="s">
        <v>1922</v>
      </c>
      <c r="L405" t="str">
        <f t="shared" si="34"/>
        <v>Regular</v>
      </c>
      <c r="M405" t="str">
        <f t="shared" si="33"/>
        <v>Not Provided</v>
      </c>
    </row>
    <row r="406" spans="1:13" ht="15.75" x14ac:dyDescent="0.3">
      <c r="A406" s="1" t="s">
        <v>1404</v>
      </c>
      <c r="B406" s="1" t="s">
        <v>1847</v>
      </c>
      <c r="C406">
        <v>62</v>
      </c>
      <c r="D406" s="1" t="s">
        <v>70</v>
      </c>
      <c r="E406" s="1" t="s">
        <v>189</v>
      </c>
      <c r="F406" s="13">
        <v>42643</v>
      </c>
      <c r="G406" s="13" t="str">
        <f t="shared" si="30"/>
        <v>Friday</v>
      </c>
      <c r="H406" s="13" t="str">
        <f t="shared" si="31"/>
        <v>September</v>
      </c>
      <c r="I406" s="6">
        <v>6514.7905032278204</v>
      </c>
      <c r="J406" s="6" t="str">
        <f t="shared" si="32"/>
        <v>Recorded</v>
      </c>
      <c r="K406" t="s">
        <v>1917</v>
      </c>
      <c r="L406" t="str">
        <f t="shared" si="34"/>
        <v>Regular</v>
      </c>
      <c r="M406" t="str">
        <f t="shared" si="33"/>
        <v>Lagos</v>
      </c>
    </row>
    <row r="407" spans="1:13" ht="15.75" x14ac:dyDescent="0.3">
      <c r="A407" s="1" t="s">
        <v>1405</v>
      </c>
      <c r="B407" s="1" t="s">
        <v>1848</v>
      </c>
      <c r="C407">
        <v>30</v>
      </c>
      <c r="D407" s="1" t="s">
        <v>5</v>
      </c>
      <c r="E407" s="1" t="s">
        <v>189</v>
      </c>
      <c r="F407" s="13">
        <v>30584</v>
      </c>
      <c r="G407" s="13" t="str">
        <f t="shared" si="30"/>
        <v>Sunday</v>
      </c>
      <c r="H407" s="13" t="str">
        <f t="shared" si="31"/>
        <v>September</v>
      </c>
      <c r="I407" s="6">
        <v>9500</v>
      </c>
      <c r="J407" s="6" t="str">
        <f t="shared" si="32"/>
        <v>Recorded</v>
      </c>
      <c r="K407" t="s">
        <v>1919</v>
      </c>
      <c r="L407" t="str">
        <f t="shared" si="34"/>
        <v>Regular</v>
      </c>
      <c r="M407" t="str">
        <f t="shared" si="33"/>
        <v>Spain</v>
      </c>
    </row>
    <row r="408" spans="1:13" ht="15.75" x14ac:dyDescent="0.3">
      <c r="A408" s="1" t="s">
        <v>1406</v>
      </c>
      <c r="B408" s="1" t="s">
        <v>1849</v>
      </c>
      <c r="C408">
        <v>30</v>
      </c>
      <c r="D408" s="1" t="s">
        <v>5</v>
      </c>
      <c r="E408" s="1" t="s">
        <v>189</v>
      </c>
      <c r="F408" s="13">
        <v>39710</v>
      </c>
      <c r="G408" s="13" t="str">
        <f t="shared" si="30"/>
        <v>Friday</v>
      </c>
      <c r="H408" s="13" t="str">
        <f t="shared" si="31"/>
        <v>September</v>
      </c>
      <c r="I408" s="6">
        <v>4963.4252764708399</v>
      </c>
      <c r="J408" s="6" t="str">
        <f t="shared" si="32"/>
        <v>Recorded</v>
      </c>
      <c r="K408" t="s">
        <v>1917</v>
      </c>
      <c r="L408" t="str">
        <f t="shared" si="34"/>
        <v>Regular</v>
      </c>
      <c r="M408" t="str">
        <f t="shared" si="33"/>
        <v>Lagos</v>
      </c>
    </row>
    <row r="409" spans="1:13" ht="15.75" x14ac:dyDescent="0.3">
      <c r="A409" s="1" t="s">
        <v>1407</v>
      </c>
      <c r="B409" s="1" t="s">
        <v>1850</v>
      </c>
      <c r="C409">
        <v>23</v>
      </c>
      <c r="D409" s="1" t="s">
        <v>8</v>
      </c>
      <c r="E409" s="1" t="s">
        <v>1915</v>
      </c>
      <c r="F409" s="13">
        <v>40133</v>
      </c>
      <c r="G409" s="13" t="str">
        <f t="shared" si="30"/>
        <v>Monday</v>
      </c>
      <c r="H409" s="13" t="str">
        <f t="shared" si="31"/>
        <v>November</v>
      </c>
      <c r="I409" s="6">
        <v>9500</v>
      </c>
      <c r="J409" s="6" t="str">
        <f t="shared" si="32"/>
        <v>Recorded</v>
      </c>
      <c r="K409" t="s">
        <v>1917</v>
      </c>
      <c r="L409" t="str">
        <f t="shared" si="34"/>
        <v>Regular</v>
      </c>
      <c r="M409" t="str">
        <f t="shared" si="33"/>
        <v>Lagos</v>
      </c>
    </row>
    <row r="410" spans="1:13" ht="15.75" x14ac:dyDescent="0.3">
      <c r="A410" s="1" t="s">
        <v>1407</v>
      </c>
      <c r="B410" s="1" t="s">
        <v>1850</v>
      </c>
      <c r="C410">
        <v>46</v>
      </c>
      <c r="D410" s="1" t="s">
        <v>8</v>
      </c>
      <c r="E410" s="1" t="s">
        <v>1915</v>
      </c>
      <c r="F410" s="13">
        <v>40133</v>
      </c>
      <c r="G410" s="13" t="str">
        <f t="shared" si="30"/>
        <v>Monday</v>
      </c>
      <c r="H410" s="13" t="str">
        <f t="shared" si="31"/>
        <v>November</v>
      </c>
      <c r="I410" s="6">
        <v>9500</v>
      </c>
      <c r="J410" s="6" t="str">
        <f t="shared" si="32"/>
        <v>Recorded</v>
      </c>
      <c r="K410" t="s">
        <v>1922</v>
      </c>
      <c r="L410" t="str">
        <f t="shared" si="34"/>
        <v>Regular</v>
      </c>
      <c r="M410" t="str">
        <f t="shared" si="33"/>
        <v>Lagos</v>
      </c>
    </row>
    <row r="411" spans="1:13" ht="15.75" x14ac:dyDescent="0.3">
      <c r="A411" s="1" t="s">
        <v>1407</v>
      </c>
      <c r="B411" s="1" t="s">
        <v>1850</v>
      </c>
      <c r="C411">
        <v>63</v>
      </c>
      <c r="D411" s="1" t="s">
        <v>8</v>
      </c>
      <c r="E411" s="1" t="s">
        <v>1915</v>
      </c>
      <c r="F411" s="13">
        <v>40133</v>
      </c>
      <c r="G411" s="13" t="str">
        <f t="shared" si="30"/>
        <v>Monday</v>
      </c>
      <c r="H411" s="13" t="str">
        <f t="shared" si="31"/>
        <v>November</v>
      </c>
      <c r="I411" s="6">
        <v>9500</v>
      </c>
      <c r="J411" s="6" t="str">
        <f t="shared" si="32"/>
        <v>Recorded</v>
      </c>
      <c r="K411" t="s">
        <v>1918</v>
      </c>
      <c r="L411" t="str">
        <f t="shared" si="34"/>
        <v>Regular</v>
      </c>
      <c r="M411" t="str">
        <f t="shared" si="33"/>
        <v>Lagos</v>
      </c>
    </row>
    <row r="412" spans="1:13" ht="15.75" x14ac:dyDescent="0.3">
      <c r="A412" s="1" t="s">
        <v>1408</v>
      </c>
      <c r="B412" s="1" t="s">
        <v>1851</v>
      </c>
      <c r="C412">
        <v>20</v>
      </c>
      <c r="D412" s="1" t="s">
        <v>8</v>
      </c>
      <c r="E412" s="1" t="s">
        <v>189</v>
      </c>
      <c r="F412" s="13">
        <v>31190</v>
      </c>
      <c r="G412" s="13" t="str">
        <f t="shared" si="30"/>
        <v>Thursday</v>
      </c>
      <c r="H412" s="13" t="str">
        <f t="shared" si="31"/>
        <v>May</v>
      </c>
      <c r="I412" s="6">
        <v>9500</v>
      </c>
      <c r="J412" s="6" t="str">
        <f t="shared" si="32"/>
        <v>Recorded</v>
      </c>
      <c r="K412" t="s">
        <v>1917</v>
      </c>
      <c r="L412" t="str">
        <f t="shared" si="34"/>
        <v>Regular</v>
      </c>
      <c r="M412" t="str">
        <f t="shared" si="33"/>
        <v>Lagos</v>
      </c>
    </row>
    <row r="413" spans="1:13" ht="15.75" x14ac:dyDescent="0.3">
      <c r="A413" s="1" t="s">
        <v>1409</v>
      </c>
      <c r="B413" s="1" t="s">
        <v>1852</v>
      </c>
      <c r="C413">
        <v>20</v>
      </c>
      <c r="D413" s="1" t="s">
        <v>8</v>
      </c>
      <c r="E413" s="1" t="s">
        <v>189</v>
      </c>
      <c r="F413" s="13">
        <v>44875</v>
      </c>
      <c r="G413" s="13" t="str">
        <f t="shared" si="30"/>
        <v>Thursday</v>
      </c>
      <c r="H413" s="13" t="str">
        <f t="shared" si="31"/>
        <v>November</v>
      </c>
      <c r="I413" s="6">
        <v>17000</v>
      </c>
      <c r="J413" s="6" t="str">
        <f t="shared" si="32"/>
        <v>Recorded</v>
      </c>
      <c r="K413" t="s">
        <v>1916</v>
      </c>
      <c r="L413" t="str">
        <f t="shared" si="34"/>
        <v>High value</v>
      </c>
      <c r="M413" t="str">
        <f t="shared" si="33"/>
        <v>South Africa</v>
      </c>
    </row>
    <row r="414" spans="1:13" ht="15.75" x14ac:dyDescent="0.3">
      <c r="A414" s="1" t="s">
        <v>1410</v>
      </c>
      <c r="B414" s="1" t="s">
        <v>1853</v>
      </c>
      <c r="C414">
        <v>30</v>
      </c>
      <c r="D414" s="1" t="s">
        <v>5</v>
      </c>
      <c r="E414" s="1" t="s">
        <v>1915</v>
      </c>
      <c r="F414" s="14">
        <v>44037</v>
      </c>
      <c r="G414" s="13" t="str">
        <f t="shared" si="30"/>
        <v>Saturday</v>
      </c>
      <c r="H414" s="13" t="str">
        <f t="shared" si="31"/>
        <v>July</v>
      </c>
      <c r="I414" s="6">
        <v>1500</v>
      </c>
      <c r="J414" s="6" t="str">
        <f t="shared" si="32"/>
        <v>Recorded</v>
      </c>
      <c r="K414" t="s">
        <v>1922</v>
      </c>
      <c r="L414" t="str">
        <f t="shared" si="34"/>
        <v>Regular</v>
      </c>
      <c r="M414" t="str">
        <f t="shared" si="33"/>
        <v>Not Provided</v>
      </c>
    </row>
    <row r="415" spans="1:13" ht="15.75" x14ac:dyDescent="0.3">
      <c r="A415" s="1" t="s">
        <v>1411</v>
      </c>
      <c r="B415" s="1" t="s">
        <v>1854</v>
      </c>
      <c r="C415">
        <v>20</v>
      </c>
      <c r="D415" s="1" t="s">
        <v>5</v>
      </c>
      <c r="E415" s="1" t="s">
        <v>189</v>
      </c>
      <c r="F415" s="13">
        <v>45630</v>
      </c>
      <c r="G415" s="13" t="str">
        <f t="shared" si="30"/>
        <v>Wednesday</v>
      </c>
      <c r="H415" s="13" t="str">
        <f t="shared" si="31"/>
        <v>December</v>
      </c>
      <c r="I415" s="6">
        <v>459.28476549100799</v>
      </c>
      <c r="J415" s="6" t="str">
        <f t="shared" si="32"/>
        <v>Recorded</v>
      </c>
      <c r="K415" t="s">
        <v>1922</v>
      </c>
      <c r="L415" t="str">
        <f t="shared" si="34"/>
        <v>Regular</v>
      </c>
      <c r="M415" t="str">
        <f t="shared" si="33"/>
        <v>Not Provided</v>
      </c>
    </row>
    <row r="416" spans="1:13" ht="15.75" x14ac:dyDescent="0.3">
      <c r="A416" s="1" t="s">
        <v>1411</v>
      </c>
      <c r="B416" s="1" t="s">
        <v>1854</v>
      </c>
      <c r="C416">
        <v>29</v>
      </c>
      <c r="D416" s="1" t="s">
        <v>5</v>
      </c>
      <c r="E416" s="1" t="s">
        <v>189</v>
      </c>
      <c r="F416" s="13">
        <v>45630</v>
      </c>
      <c r="G416" s="13" t="str">
        <f t="shared" si="30"/>
        <v>Wednesday</v>
      </c>
      <c r="H416" s="13" t="str">
        <f t="shared" si="31"/>
        <v>December</v>
      </c>
      <c r="I416" s="6">
        <v>459.28476549100799</v>
      </c>
      <c r="J416" s="6" t="str">
        <f t="shared" si="32"/>
        <v>Recorded</v>
      </c>
      <c r="K416" t="s">
        <v>1917</v>
      </c>
      <c r="L416" t="str">
        <f t="shared" si="34"/>
        <v>Regular</v>
      </c>
      <c r="M416" t="str">
        <f t="shared" si="33"/>
        <v>Not Provided</v>
      </c>
    </row>
    <row r="417" spans="1:13" ht="15.75" x14ac:dyDescent="0.3">
      <c r="A417" s="1" t="s">
        <v>1412</v>
      </c>
      <c r="B417" s="1" t="s">
        <v>1855</v>
      </c>
      <c r="C417">
        <v>30</v>
      </c>
      <c r="D417" s="1" t="s">
        <v>5</v>
      </c>
      <c r="E417" s="1" t="s">
        <v>189</v>
      </c>
      <c r="F417" s="14">
        <v>43490</v>
      </c>
      <c r="G417" s="13" t="str">
        <f t="shared" si="30"/>
        <v>Friday</v>
      </c>
      <c r="H417" s="13" t="str">
        <f t="shared" si="31"/>
        <v>January</v>
      </c>
      <c r="I417" s="6">
        <v>1500</v>
      </c>
      <c r="J417" s="6" t="str">
        <f t="shared" si="32"/>
        <v>Recorded</v>
      </c>
      <c r="K417" t="s">
        <v>1919</v>
      </c>
      <c r="L417" t="str">
        <f t="shared" si="34"/>
        <v>Regular</v>
      </c>
      <c r="M417" t="str">
        <f t="shared" si="33"/>
        <v>Spain</v>
      </c>
    </row>
    <row r="418" spans="1:13" ht="15.75" x14ac:dyDescent="0.3">
      <c r="A418" s="1" t="s">
        <v>1413</v>
      </c>
      <c r="B418" s="1" t="s">
        <v>1856</v>
      </c>
      <c r="C418">
        <v>20</v>
      </c>
      <c r="D418" s="1" t="s">
        <v>5</v>
      </c>
      <c r="E418" s="1" t="s">
        <v>1915</v>
      </c>
      <c r="F418" s="13">
        <v>45574</v>
      </c>
      <c r="G418" s="13" t="str">
        <f t="shared" si="30"/>
        <v>Wednesday</v>
      </c>
      <c r="H418" s="13" t="str">
        <f t="shared" si="31"/>
        <v>October</v>
      </c>
      <c r="I418" s="6">
        <v>788.30668616620801</v>
      </c>
      <c r="J418" s="6" t="str">
        <f t="shared" si="32"/>
        <v>Recorded</v>
      </c>
      <c r="K418" t="s">
        <v>1922</v>
      </c>
      <c r="L418" t="str">
        <f t="shared" si="34"/>
        <v>Regular</v>
      </c>
      <c r="M418" t="str">
        <f t="shared" si="33"/>
        <v>Not Provided</v>
      </c>
    </row>
    <row r="419" spans="1:13" ht="15.75" x14ac:dyDescent="0.3">
      <c r="A419" s="1" t="s">
        <v>1414</v>
      </c>
      <c r="B419" s="1" t="s">
        <v>1857</v>
      </c>
      <c r="C419">
        <v>52</v>
      </c>
      <c r="D419" s="1" t="s">
        <v>5</v>
      </c>
      <c r="E419" s="1" t="s">
        <v>189</v>
      </c>
      <c r="F419" s="13">
        <v>45523</v>
      </c>
      <c r="G419" s="13" t="str">
        <f t="shared" si="30"/>
        <v>Monday</v>
      </c>
      <c r="H419" s="13" t="str">
        <f t="shared" si="31"/>
        <v>August</v>
      </c>
      <c r="I419" s="6">
        <v>6063.3841775421897</v>
      </c>
      <c r="J419" s="6" t="str">
        <f t="shared" si="32"/>
        <v>Recorded</v>
      </c>
      <c r="K419" t="s">
        <v>1922</v>
      </c>
      <c r="L419" t="str">
        <f t="shared" si="34"/>
        <v>Regular</v>
      </c>
      <c r="M419" t="str">
        <f t="shared" si="33"/>
        <v>Not Provided</v>
      </c>
    </row>
    <row r="420" spans="1:13" ht="15.75" x14ac:dyDescent="0.3">
      <c r="A420" s="1" t="s">
        <v>1415</v>
      </c>
      <c r="B420" s="1" t="s">
        <v>1858</v>
      </c>
      <c r="C420">
        <v>53</v>
      </c>
      <c r="D420" s="1" t="s">
        <v>5</v>
      </c>
      <c r="E420" s="1" t="s">
        <v>1915</v>
      </c>
      <c r="F420" s="13">
        <v>45348</v>
      </c>
      <c r="G420" s="13" t="str">
        <f t="shared" si="30"/>
        <v>Monday</v>
      </c>
      <c r="H420" s="13" t="str">
        <f t="shared" si="31"/>
        <v>February</v>
      </c>
      <c r="I420" s="6">
        <v>658.437303185921</v>
      </c>
      <c r="J420" s="6" t="str">
        <f t="shared" si="32"/>
        <v>Recorded</v>
      </c>
      <c r="K420" t="s">
        <v>1922</v>
      </c>
      <c r="L420" t="str">
        <f t="shared" si="34"/>
        <v>Regular</v>
      </c>
      <c r="M420" t="str">
        <f t="shared" si="33"/>
        <v>Not Provided</v>
      </c>
    </row>
    <row r="421" spans="1:13" ht="15.75" x14ac:dyDescent="0.3">
      <c r="A421" s="1" t="s">
        <v>1416</v>
      </c>
      <c r="B421" s="1" t="s">
        <v>1859</v>
      </c>
      <c r="C421">
        <v>20</v>
      </c>
      <c r="D421" s="1" t="s">
        <v>5</v>
      </c>
      <c r="E421" s="1" t="s">
        <v>1915</v>
      </c>
      <c r="F421" s="13">
        <v>45561</v>
      </c>
      <c r="G421" s="13" t="str">
        <f t="shared" si="30"/>
        <v>Thursday</v>
      </c>
      <c r="H421" s="13" t="str">
        <f t="shared" si="31"/>
        <v>September</v>
      </c>
      <c r="I421" s="6">
        <v>363.01661683714099</v>
      </c>
      <c r="J421" s="6" t="str">
        <f t="shared" si="32"/>
        <v>Recorded</v>
      </c>
      <c r="K421" t="s">
        <v>1918</v>
      </c>
      <c r="L421" t="str">
        <f t="shared" si="34"/>
        <v>Regular</v>
      </c>
      <c r="M421" t="str">
        <f t="shared" si="33"/>
        <v>India</v>
      </c>
    </row>
    <row r="422" spans="1:13" ht="15.75" x14ac:dyDescent="0.3">
      <c r="A422" s="1" t="s">
        <v>1417</v>
      </c>
      <c r="B422" s="1" t="s">
        <v>1860</v>
      </c>
      <c r="C422">
        <v>30</v>
      </c>
      <c r="D422" s="1" t="s">
        <v>5</v>
      </c>
      <c r="E422" s="1" t="s">
        <v>189</v>
      </c>
      <c r="F422" s="14">
        <v>43448</v>
      </c>
      <c r="G422" s="13" t="str">
        <f t="shared" si="30"/>
        <v>Friday</v>
      </c>
      <c r="H422" s="13" t="str">
        <f t="shared" si="31"/>
        <v>December</v>
      </c>
      <c r="I422" s="6">
        <v>850</v>
      </c>
      <c r="J422" s="6" t="str">
        <f t="shared" si="32"/>
        <v>Recorded</v>
      </c>
      <c r="K422" t="s">
        <v>1916</v>
      </c>
      <c r="L422" t="str">
        <f t="shared" si="34"/>
        <v>Regular</v>
      </c>
      <c r="M422" t="str">
        <f t="shared" si="33"/>
        <v>South Africa</v>
      </c>
    </row>
    <row r="423" spans="1:13" ht="15.75" x14ac:dyDescent="0.3">
      <c r="A423" s="1" t="s">
        <v>1418</v>
      </c>
      <c r="B423" s="1" t="s">
        <v>1861</v>
      </c>
      <c r="C423">
        <v>20</v>
      </c>
      <c r="D423" s="1" t="s">
        <v>8</v>
      </c>
      <c r="E423" s="1" t="s">
        <v>189</v>
      </c>
      <c r="F423" s="13">
        <v>38868</v>
      </c>
      <c r="G423" s="13" t="str">
        <f t="shared" si="30"/>
        <v>Wednesday</v>
      </c>
      <c r="H423" s="13" t="str">
        <f t="shared" si="31"/>
        <v>May</v>
      </c>
      <c r="I423" s="6">
        <v>2568.5583578583201</v>
      </c>
      <c r="J423" s="6" t="str">
        <f t="shared" si="32"/>
        <v>Recorded</v>
      </c>
      <c r="K423" t="s">
        <v>1918</v>
      </c>
      <c r="L423" t="str">
        <f t="shared" si="34"/>
        <v>Regular</v>
      </c>
      <c r="M423" t="str">
        <f t="shared" si="33"/>
        <v>India</v>
      </c>
    </row>
    <row r="424" spans="1:13" ht="15.75" x14ac:dyDescent="0.3">
      <c r="A424" s="1" t="s">
        <v>1419</v>
      </c>
      <c r="B424" s="1" t="s">
        <v>1862</v>
      </c>
      <c r="C424">
        <v>20</v>
      </c>
      <c r="D424" s="1" t="s">
        <v>5</v>
      </c>
      <c r="E424" s="1" t="s">
        <v>189</v>
      </c>
      <c r="F424" s="13">
        <v>39356</v>
      </c>
      <c r="G424" s="13" t="str">
        <f t="shared" si="30"/>
        <v>Monday</v>
      </c>
      <c r="H424" s="13" t="str">
        <f t="shared" si="31"/>
        <v>October</v>
      </c>
      <c r="I424" s="6">
        <v>460.89489546675702</v>
      </c>
      <c r="J424" s="6" t="str">
        <f t="shared" si="32"/>
        <v>Recorded</v>
      </c>
      <c r="K424" t="s">
        <v>1922</v>
      </c>
      <c r="L424" t="str">
        <f t="shared" si="34"/>
        <v>Regular</v>
      </c>
      <c r="M424" t="str">
        <f t="shared" si="33"/>
        <v>Not Provided</v>
      </c>
    </row>
    <row r="425" spans="1:13" ht="15.75" x14ac:dyDescent="0.3">
      <c r="A425" s="1" t="s">
        <v>1420</v>
      </c>
      <c r="B425" s="1" t="s">
        <v>1863</v>
      </c>
      <c r="C425">
        <v>26</v>
      </c>
      <c r="D425" s="1" t="s">
        <v>5</v>
      </c>
      <c r="E425" s="1" t="s">
        <v>1915</v>
      </c>
      <c r="F425" s="13">
        <v>39933</v>
      </c>
      <c r="G425" s="13" t="str">
        <f t="shared" si="30"/>
        <v>Thursday</v>
      </c>
      <c r="H425" s="13" t="str">
        <f t="shared" si="31"/>
        <v>April</v>
      </c>
      <c r="I425" s="6">
        <v>1500</v>
      </c>
      <c r="J425" s="6" t="str">
        <f t="shared" si="32"/>
        <v>Recorded</v>
      </c>
      <c r="K425" t="s">
        <v>1922</v>
      </c>
      <c r="L425" t="str">
        <f t="shared" si="34"/>
        <v>Regular</v>
      </c>
      <c r="M425" t="str">
        <f t="shared" si="33"/>
        <v>Not Provided</v>
      </c>
    </row>
    <row r="426" spans="1:13" ht="15.75" x14ac:dyDescent="0.3">
      <c r="A426" s="1" t="s">
        <v>1421</v>
      </c>
      <c r="B426" s="1" t="s">
        <v>1864</v>
      </c>
      <c r="C426">
        <v>30</v>
      </c>
      <c r="D426" s="1" t="s">
        <v>8</v>
      </c>
      <c r="E426" s="1" t="s">
        <v>189</v>
      </c>
      <c r="F426" s="13">
        <v>42988</v>
      </c>
      <c r="G426" s="13" t="str">
        <f t="shared" si="30"/>
        <v>Sunday</v>
      </c>
      <c r="H426" s="13" t="str">
        <f t="shared" si="31"/>
        <v>September</v>
      </c>
      <c r="I426" s="6">
        <v>568.043827367532</v>
      </c>
      <c r="J426" s="6" t="str">
        <f t="shared" si="32"/>
        <v>Recorded</v>
      </c>
      <c r="K426" t="s">
        <v>1922</v>
      </c>
      <c r="L426" t="str">
        <f t="shared" si="34"/>
        <v>Regular</v>
      </c>
      <c r="M426" t="str">
        <f t="shared" si="33"/>
        <v>Not Provided</v>
      </c>
    </row>
    <row r="427" spans="1:13" ht="15.75" x14ac:dyDescent="0.3">
      <c r="A427" s="1" t="s">
        <v>1422</v>
      </c>
      <c r="B427" s="1" t="s">
        <v>1865</v>
      </c>
      <c r="C427">
        <v>20</v>
      </c>
      <c r="D427" s="1" t="s">
        <v>8</v>
      </c>
      <c r="E427" s="1" t="s">
        <v>1915</v>
      </c>
      <c r="F427" s="13">
        <v>30204</v>
      </c>
      <c r="G427" s="13" t="str">
        <f t="shared" si="30"/>
        <v>Friday</v>
      </c>
      <c r="H427" s="13" t="str">
        <f t="shared" si="31"/>
        <v>September</v>
      </c>
      <c r="I427" s="6">
        <v>159.04619252292301</v>
      </c>
      <c r="J427" s="6" t="str">
        <f t="shared" si="32"/>
        <v>Recorded</v>
      </c>
      <c r="K427" t="s">
        <v>1916</v>
      </c>
      <c r="L427" t="str">
        <f t="shared" si="34"/>
        <v>Regular</v>
      </c>
      <c r="M427" t="str">
        <f t="shared" si="33"/>
        <v>South Africa</v>
      </c>
    </row>
    <row r="428" spans="1:13" ht="15.75" x14ac:dyDescent="0.3">
      <c r="A428" s="1" t="s">
        <v>1423</v>
      </c>
      <c r="B428" s="1" t="s">
        <v>1866</v>
      </c>
      <c r="C428">
        <v>30</v>
      </c>
      <c r="D428" s="1" t="s">
        <v>8</v>
      </c>
      <c r="E428" s="1" t="s">
        <v>189</v>
      </c>
      <c r="F428" s="13">
        <v>45475</v>
      </c>
      <c r="G428" s="13" t="str">
        <f t="shared" si="30"/>
        <v>Tuesday</v>
      </c>
      <c r="H428" s="13" t="str">
        <f t="shared" si="31"/>
        <v>July</v>
      </c>
      <c r="I428" s="6">
        <v>398.09270556066099</v>
      </c>
      <c r="J428" s="6" t="str">
        <f t="shared" si="32"/>
        <v>Recorded</v>
      </c>
      <c r="K428" t="s">
        <v>1922</v>
      </c>
      <c r="L428" t="str">
        <f t="shared" si="34"/>
        <v>Regular</v>
      </c>
      <c r="M428" t="str">
        <f t="shared" si="33"/>
        <v>Not Provided</v>
      </c>
    </row>
    <row r="429" spans="1:13" ht="15.75" x14ac:dyDescent="0.3">
      <c r="A429" s="1" t="s">
        <v>1424</v>
      </c>
      <c r="B429" s="1" t="s">
        <v>1867</v>
      </c>
      <c r="C429">
        <v>30</v>
      </c>
      <c r="D429" s="1" t="s">
        <v>5</v>
      </c>
      <c r="E429" s="1" t="s">
        <v>1915</v>
      </c>
      <c r="F429" s="14">
        <v>44742</v>
      </c>
      <c r="G429" s="13" t="str">
        <f t="shared" si="30"/>
        <v>Thursday</v>
      </c>
      <c r="H429" s="13" t="str">
        <f t="shared" si="31"/>
        <v>June</v>
      </c>
      <c r="I429" s="6">
        <v>573.59310641522097</v>
      </c>
      <c r="J429" s="6" t="str">
        <f t="shared" si="32"/>
        <v>Recorded</v>
      </c>
      <c r="K429" t="s">
        <v>1922</v>
      </c>
      <c r="L429" t="str">
        <f t="shared" si="34"/>
        <v>Regular</v>
      </c>
      <c r="M429" t="str">
        <f t="shared" si="33"/>
        <v>Not Provided</v>
      </c>
    </row>
    <row r="430" spans="1:13" ht="15.75" x14ac:dyDescent="0.3">
      <c r="A430" s="1" t="s">
        <v>1425</v>
      </c>
      <c r="B430" s="1" t="s">
        <v>1868</v>
      </c>
      <c r="C430">
        <v>40</v>
      </c>
      <c r="D430" s="1" t="s">
        <v>5</v>
      </c>
      <c r="E430" s="1" t="s">
        <v>1915</v>
      </c>
      <c r="F430" s="13">
        <v>45587</v>
      </c>
      <c r="G430" s="13" t="str">
        <f t="shared" si="30"/>
        <v>Tuesday</v>
      </c>
      <c r="H430" s="13" t="str">
        <f t="shared" si="31"/>
        <v>October</v>
      </c>
      <c r="I430" s="6">
        <v>127.363789032357</v>
      </c>
      <c r="J430" s="6" t="str">
        <f t="shared" si="32"/>
        <v>Recorded</v>
      </c>
      <c r="K430" t="s">
        <v>1922</v>
      </c>
      <c r="L430" t="str">
        <f t="shared" si="34"/>
        <v>Regular</v>
      </c>
      <c r="M430" t="str">
        <f t="shared" si="33"/>
        <v>Not Provided</v>
      </c>
    </row>
    <row r="431" spans="1:13" ht="15.75" x14ac:dyDescent="0.3">
      <c r="A431" s="1" t="s">
        <v>1425</v>
      </c>
      <c r="B431" s="1" t="s">
        <v>1868</v>
      </c>
      <c r="C431">
        <v>44</v>
      </c>
      <c r="D431" s="1" t="s">
        <v>5</v>
      </c>
      <c r="E431" s="1" t="s">
        <v>189</v>
      </c>
      <c r="F431" s="13">
        <v>45587</v>
      </c>
      <c r="G431" s="13" t="str">
        <f t="shared" si="30"/>
        <v>Tuesday</v>
      </c>
      <c r="H431" s="13" t="str">
        <f t="shared" si="31"/>
        <v>October</v>
      </c>
      <c r="I431" s="6">
        <v>127.363789032357</v>
      </c>
      <c r="J431" s="6" t="str">
        <f t="shared" si="32"/>
        <v>Recorded</v>
      </c>
      <c r="K431" t="s">
        <v>1922</v>
      </c>
      <c r="L431" t="str">
        <f t="shared" si="34"/>
        <v>Regular</v>
      </c>
      <c r="M431" t="str">
        <f t="shared" si="33"/>
        <v>Not Provided</v>
      </c>
    </row>
    <row r="432" spans="1:13" ht="15.75" x14ac:dyDescent="0.3">
      <c r="A432" s="1" t="s">
        <v>1426</v>
      </c>
      <c r="B432" s="1" t="s">
        <v>1869</v>
      </c>
      <c r="C432">
        <v>29</v>
      </c>
      <c r="D432" s="1" t="s">
        <v>5</v>
      </c>
      <c r="E432" s="1" t="s">
        <v>189</v>
      </c>
      <c r="F432" s="13">
        <v>42742</v>
      </c>
      <c r="G432" s="13" t="str">
        <f t="shared" si="30"/>
        <v>Saturday</v>
      </c>
      <c r="H432" s="13" t="str">
        <f t="shared" si="31"/>
        <v>January</v>
      </c>
      <c r="I432" s="6">
        <v>54000</v>
      </c>
      <c r="J432" s="6" t="str">
        <f t="shared" si="32"/>
        <v>Recorded</v>
      </c>
      <c r="K432" t="s">
        <v>1918</v>
      </c>
      <c r="L432" t="str">
        <f t="shared" si="34"/>
        <v>High value</v>
      </c>
      <c r="M432" t="str">
        <f t="shared" si="33"/>
        <v>India</v>
      </c>
    </row>
    <row r="433" spans="1:13" ht="15.75" x14ac:dyDescent="0.3">
      <c r="A433" s="1" t="s">
        <v>1427</v>
      </c>
      <c r="B433" s="1" t="s">
        <v>1870</v>
      </c>
      <c r="C433">
        <v>20</v>
      </c>
      <c r="D433" s="1" t="s">
        <v>8</v>
      </c>
      <c r="E433" s="1" t="s">
        <v>1915</v>
      </c>
      <c r="F433" s="13">
        <v>40518</v>
      </c>
      <c r="G433" s="13" t="str">
        <f t="shared" si="30"/>
        <v>Monday</v>
      </c>
      <c r="H433" s="13" t="str">
        <f t="shared" si="31"/>
        <v>December</v>
      </c>
      <c r="I433" s="6">
        <v>1500</v>
      </c>
      <c r="J433" s="6" t="str">
        <f t="shared" si="32"/>
        <v>Recorded</v>
      </c>
      <c r="K433" t="s">
        <v>1922</v>
      </c>
      <c r="L433" t="str">
        <f t="shared" si="34"/>
        <v>Regular</v>
      </c>
      <c r="M433" t="str">
        <f t="shared" si="33"/>
        <v>Not Provided</v>
      </c>
    </row>
    <row r="434" spans="1:13" ht="15.75" x14ac:dyDescent="0.3">
      <c r="A434" s="1" t="s">
        <v>1428</v>
      </c>
      <c r="B434" s="1" t="s">
        <v>1871</v>
      </c>
      <c r="C434">
        <v>30</v>
      </c>
      <c r="D434" s="1" t="s">
        <v>5</v>
      </c>
      <c r="E434" s="1" t="s">
        <v>189</v>
      </c>
      <c r="F434" s="13">
        <v>29599</v>
      </c>
      <c r="G434" s="13" t="str">
        <f t="shared" si="30"/>
        <v>Tuesday</v>
      </c>
      <c r="H434" s="13" t="str">
        <f t="shared" si="31"/>
        <v>January</v>
      </c>
      <c r="I434" s="6">
        <v>1500</v>
      </c>
      <c r="J434" s="6" t="str">
        <f t="shared" si="32"/>
        <v>Recorded</v>
      </c>
      <c r="K434" t="s">
        <v>1922</v>
      </c>
      <c r="L434" t="str">
        <f t="shared" si="34"/>
        <v>Regular</v>
      </c>
      <c r="M434" t="str">
        <f t="shared" si="33"/>
        <v>Not Provided</v>
      </c>
    </row>
    <row r="435" spans="1:13" ht="15.75" x14ac:dyDescent="0.3">
      <c r="A435" s="1" t="s">
        <v>1429</v>
      </c>
      <c r="B435" s="1" t="s">
        <v>1872</v>
      </c>
      <c r="C435">
        <v>30</v>
      </c>
      <c r="D435" s="1" t="s">
        <v>8</v>
      </c>
      <c r="E435" s="1" t="s">
        <v>1915</v>
      </c>
      <c r="F435" s="14">
        <v>43962</v>
      </c>
      <c r="G435" s="13" t="str">
        <f t="shared" si="30"/>
        <v>Monday</v>
      </c>
      <c r="H435" s="13" t="str">
        <f t="shared" si="31"/>
        <v>May</v>
      </c>
      <c r="I435" s="6">
        <v>30.688579780824799</v>
      </c>
      <c r="J435" s="6" t="str">
        <f t="shared" si="32"/>
        <v>Recorded</v>
      </c>
      <c r="K435" t="s">
        <v>1922</v>
      </c>
      <c r="L435" t="str">
        <f t="shared" si="34"/>
        <v>Regular</v>
      </c>
      <c r="M435" t="str">
        <f t="shared" si="33"/>
        <v>Not Provided</v>
      </c>
    </row>
    <row r="436" spans="1:13" ht="15.75" x14ac:dyDescent="0.3">
      <c r="A436" s="1" t="s">
        <v>1430</v>
      </c>
      <c r="B436" s="1" t="s">
        <v>1873</v>
      </c>
      <c r="C436">
        <v>30</v>
      </c>
      <c r="D436" s="1" t="s">
        <v>5</v>
      </c>
      <c r="E436" s="1" t="s">
        <v>1915</v>
      </c>
      <c r="F436" s="13">
        <v>40493</v>
      </c>
      <c r="G436" s="13" t="str">
        <f t="shared" si="30"/>
        <v>Thursday</v>
      </c>
      <c r="H436" s="13" t="str">
        <f t="shared" si="31"/>
        <v>November</v>
      </c>
      <c r="I436" s="6">
        <v>1500</v>
      </c>
      <c r="J436" s="6" t="str">
        <f t="shared" si="32"/>
        <v>Recorded</v>
      </c>
      <c r="K436" t="s">
        <v>1922</v>
      </c>
      <c r="L436" t="str">
        <f t="shared" si="34"/>
        <v>Regular</v>
      </c>
      <c r="M436" t="str">
        <f t="shared" si="33"/>
        <v>Not Provided</v>
      </c>
    </row>
    <row r="437" spans="1:13" ht="15.75" x14ac:dyDescent="0.3">
      <c r="A437" s="1" t="s">
        <v>1431</v>
      </c>
      <c r="B437" s="1" t="s">
        <v>1874</v>
      </c>
      <c r="C437">
        <v>65</v>
      </c>
      <c r="D437" s="1" t="s">
        <v>8</v>
      </c>
      <c r="E437" s="1" t="s">
        <v>1915</v>
      </c>
      <c r="F437" s="13">
        <v>42436</v>
      </c>
      <c r="G437" s="13" t="str">
        <f t="shared" si="30"/>
        <v>Monday</v>
      </c>
      <c r="H437" s="13" t="str">
        <f t="shared" si="31"/>
        <v>March</v>
      </c>
      <c r="I437" s="6">
        <v>9557.1452255059903</v>
      </c>
      <c r="J437" s="6" t="str">
        <f t="shared" si="32"/>
        <v>Recorded</v>
      </c>
      <c r="K437" t="s">
        <v>1922</v>
      </c>
      <c r="L437" t="str">
        <f t="shared" si="34"/>
        <v>Regular</v>
      </c>
      <c r="M437" t="str">
        <f t="shared" si="33"/>
        <v>Not Provided</v>
      </c>
    </row>
    <row r="438" spans="1:13" ht="15.75" x14ac:dyDescent="0.3">
      <c r="A438" s="1" t="s">
        <v>1432</v>
      </c>
      <c r="B438" s="1" t="s">
        <v>1875</v>
      </c>
      <c r="C438">
        <v>20</v>
      </c>
      <c r="D438" s="1" t="s">
        <v>5</v>
      </c>
      <c r="E438" s="1" t="s">
        <v>1915</v>
      </c>
      <c r="F438" s="13">
        <v>45390</v>
      </c>
      <c r="G438" s="13" t="str">
        <f t="shared" si="30"/>
        <v>Monday</v>
      </c>
      <c r="H438" s="13" t="str">
        <f t="shared" si="31"/>
        <v>April</v>
      </c>
      <c r="I438" s="6">
        <v>1500</v>
      </c>
      <c r="J438" s="6" t="str">
        <f t="shared" si="32"/>
        <v>Recorded</v>
      </c>
      <c r="K438" t="s">
        <v>1917</v>
      </c>
      <c r="L438" t="str">
        <f t="shared" si="34"/>
        <v>Regular</v>
      </c>
      <c r="M438" t="str">
        <f t="shared" si="33"/>
        <v>Lagos</v>
      </c>
    </row>
    <row r="439" spans="1:13" ht="15.75" x14ac:dyDescent="0.3">
      <c r="A439" s="1" t="s">
        <v>1433</v>
      </c>
      <c r="B439" s="1" t="s">
        <v>1876</v>
      </c>
      <c r="C439">
        <v>30</v>
      </c>
      <c r="D439" s="1" t="s">
        <v>5</v>
      </c>
      <c r="E439" s="1" t="s">
        <v>189</v>
      </c>
      <c r="F439" s="13">
        <v>41538</v>
      </c>
      <c r="G439" s="13" t="str">
        <f t="shared" si="30"/>
        <v>Saturday</v>
      </c>
      <c r="H439" s="13" t="str">
        <f t="shared" si="31"/>
        <v>September</v>
      </c>
      <c r="I439" s="6">
        <v>1500</v>
      </c>
      <c r="J439" s="6" t="str">
        <f t="shared" si="32"/>
        <v>Recorded</v>
      </c>
      <c r="K439" t="s">
        <v>1917</v>
      </c>
      <c r="L439" t="str">
        <f t="shared" si="34"/>
        <v>Regular</v>
      </c>
      <c r="M439" t="str">
        <f t="shared" si="33"/>
        <v>Lagos</v>
      </c>
    </row>
    <row r="440" spans="1:13" ht="15.75" x14ac:dyDescent="0.3">
      <c r="A440" s="1" t="s">
        <v>1434</v>
      </c>
      <c r="B440" s="1" t="s">
        <v>1877</v>
      </c>
      <c r="C440">
        <v>20</v>
      </c>
      <c r="D440" s="1" t="s">
        <v>5</v>
      </c>
      <c r="E440" s="1" t="s">
        <v>1915</v>
      </c>
      <c r="F440" s="13">
        <v>45525</v>
      </c>
      <c r="G440" s="13" t="str">
        <f t="shared" si="30"/>
        <v>Wednesday</v>
      </c>
      <c r="H440" s="13" t="str">
        <f t="shared" si="31"/>
        <v>August</v>
      </c>
      <c r="I440" s="6">
        <v>78.5469795729921</v>
      </c>
      <c r="J440" s="6" t="str">
        <f t="shared" si="32"/>
        <v>Recorded</v>
      </c>
      <c r="K440" t="s">
        <v>1922</v>
      </c>
      <c r="L440" t="str">
        <f t="shared" si="34"/>
        <v>Regular</v>
      </c>
      <c r="M440" t="str">
        <f t="shared" si="33"/>
        <v>Not Provided</v>
      </c>
    </row>
    <row r="441" spans="1:13" ht="15.75" x14ac:dyDescent="0.3">
      <c r="A441" s="1" t="s">
        <v>1435</v>
      </c>
      <c r="B441" s="1" t="s">
        <v>1878</v>
      </c>
      <c r="C441">
        <v>20</v>
      </c>
      <c r="D441" s="1" t="s">
        <v>8</v>
      </c>
      <c r="E441" s="1" t="s">
        <v>189</v>
      </c>
      <c r="F441" s="13">
        <v>35967</v>
      </c>
      <c r="G441" s="13" t="str">
        <f t="shared" si="30"/>
        <v>Sunday</v>
      </c>
      <c r="H441" s="13" t="str">
        <f t="shared" si="31"/>
        <v>June</v>
      </c>
      <c r="I441" s="6">
        <v>1500</v>
      </c>
      <c r="J441" s="6" t="str">
        <f t="shared" si="32"/>
        <v>Recorded</v>
      </c>
      <c r="K441" t="s">
        <v>1922</v>
      </c>
      <c r="L441" t="str">
        <f t="shared" si="34"/>
        <v>Regular</v>
      </c>
      <c r="M441" t="str">
        <f t="shared" si="33"/>
        <v>Not Provided</v>
      </c>
    </row>
    <row r="442" spans="1:13" ht="15.75" x14ac:dyDescent="0.3">
      <c r="A442" s="1" t="s">
        <v>1436</v>
      </c>
      <c r="B442" s="1" t="s">
        <v>1879</v>
      </c>
      <c r="C442">
        <v>30</v>
      </c>
      <c r="D442" s="1" t="s">
        <v>8</v>
      </c>
      <c r="E442" s="1" t="s">
        <v>189</v>
      </c>
      <c r="F442" s="13">
        <v>35211</v>
      </c>
      <c r="G442" s="13" t="str">
        <f t="shared" si="30"/>
        <v>Sunday</v>
      </c>
      <c r="H442" s="13" t="str">
        <f t="shared" si="31"/>
        <v>May</v>
      </c>
      <c r="I442" s="6">
        <v>1500</v>
      </c>
      <c r="J442" s="6" t="str">
        <f t="shared" si="32"/>
        <v>Recorded</v>
      </c>
      <c r="K442" t="s">
        <v>1916</v>
      </c>
      <c r="L442" t="str">
        <f t="shared" si="34"/>
        <v>Regular</v>
      </c>
      <c r="M442" t="str">
        <f t="shared" si="33"/>
        <v>South Africa</v>
      </c>
    </row>
    <row r="443" spans="1:13" ht="15.75" x14ac:dyDescent="0.3">
      <c r="A443" s="1" t="s">
        <v>1437</v>
      </c>
      <c r="B443" s="1" t="s">
        <v>1880</v>
      </c>
      <c r="C443">
        <v>30</v>
      </c>
      <c r="D443" s="1" t="s">
        <v>8</v>
      </c>
      <c r="E443" s="1" t="s">
        <v>189</v>
      </c>
      <c r="F443" s="13">
        <v>39993</v>
      </c>
      <c r="G443" s="13" t="str">
        <f t="shared" si="30"/>
        <v>Monday</v>
      </c>
      <c r="H443" s="13" t="str">
        <f t="shared" si="31"/>
        <v>June</v>
      </c>
      <c r="I443" s="6">
        <v>62.158911812909501</v>
      </c>
      <c r="J443" s="6" t="str">
        <f t="shared" si="32"/>
        <v>Recorded</v>
      </c>
      <c r="K443" t="s">
        <v>1916</v>
      </c>
      <c r="L443" t="str">
        <f t="shared" si="34"/>
        <v>Regular</v>
      </c>
      <c r="M443" t="str">
        <f t="shared" si="33"/>
        <v>South Africa</v>
      </c>
    </row>
    <row r="444" spans="1:13" ht="15.75" x14ac:dyDescent="0.3">
      <c r="A444" s="1" t="s">
        <v>1438</v>
      </c>
      <c r="B444" s="1" t="s">
        <v>1881</v>
      </c>
      <c r="C444">
        <v>20</v>
      </c>
      <c r="D444" s="1" t="s">
        <v>5</v>
      </c>
      <c r="E444" s="1" t="s">
        <v>1915</v>
      </c>
      <c r="F444" s="14">
        <v>44238</v>
      </c>
      <c r="G444" s="13" t="str">
        <f t="shared" si="30"/>
        <v>Thursday</v>
      </c>
      <c r="H444" s="13" t="str">
        <f t="shared" si="31"/>
        <v>February</v>
      </c>
      <c r="I444" s="6">
        <v>9800</v>
      </c>
      <c r="J444" s="6" t="str">
        <f t="shared" si="32"/>
        <v>Recorded</v>
      </c>
      <c r="K444" t="s">
        <v>1922</v>
      </c>
      <c r="L444" t="str">
        <f t="shared" si="34"/>
        <v>Regular</v>
      </c>
      <c r="M444" t="str">
        <f t="shared" si="33"/>
        <v>Not Provided</v>
      </c>
    </row>
    <row r="445" spans="1:13" ht="15.75" x14ac:dyDescent="0.3">
      <c r="A445" s="1" t="s">
        <v>1439</v>
      </c>
      <c r="B445" s="1" t="s">
        <v>1882</v>
      </c>
      <c r="C445">
        <v>32</v>
      </c>
      <c r="D445" s="1" t="s">
        <v>5</v>
      </c>
      <c r="E445" s="1" t="s">
        <v>1915</v>
      </c>
      <c r="F445" s="13">
        <v>32943</v>
      </c>
      <c r="G445" s="13" t="str">
        <f t="shared" si="30"/>
        <v>Sunday</v>
      </c>
      <c r="H445" s="13" t="str">
        <f t="shared" si="31"/>
        <v>March</v>
      </c>
      <c r="I445" s="6">
        <v>1500</v>
      </c>
      <c r="J445" s="6" t="str">
        <f t="shared" si="32"/>
        <v>Recorded</v>
      </c>
      <c r="K445" t="s">
        <v>1916</v>
      </c>
      <c r="L445" t="str">
        <f t="shared" si="34"/>
        <v>Regular</v>
      </c>
      <c r="M445" t="str">
        <f t="shared" si="33"/>
        <v>South Africa</v>
      </c>
    </row>
    <row r="446" spans="1:13" ht="15.75" x14ac:dyDescent="0.3">
      <c r="A446" s="1" t="s">
        <v>1440</v>
      </c>
      <c r="B446" s="1" t="s">
        <v>1883</v>
      </c>
      <c r="C446">
        <v>51</v>
      </c>
      <c r="D446" s="1" t="s">
        <v>5</v>
      </c>
      <c r="E446" s="1" t="s">
        <v>1915</v>
      </c>
      <c r="F446" s="13">
        <v>45470</v>
      </c>
      <c r="G446" s="13" t="str">
        <f t="shared" si="30"/>
        <v>Thursday</v>
      </c>
      <c r="H446" s="13" t="str">
        <f t="shared" si="31"/>
        <v>June</v>
      </c>
      <c r="I446" s="6">
        <v>1000</v>
      </c>
      <c r="J446" s="6" t="str">
        <f t="shared" si="32"/>
        <v>Recorded</v>
      </c>
      <c r="K446" t="s">
        <v>1917</v>
      </c>
      <c r="L446" t="str">
        <f t="shared" si="34"/>
        <v>Regular</v>
      </c>
      <c r="M446" t="str">
        <f t="shared" si="33"/>
        <v>Lagos</v>
      </c>
    </row>
    <row r="447" spans="1:13" ht="15.75" x14ac:dyDescent="0.3">
      <c r="A447" s="1" t="s">
        <v>1441</v>
      </c>
      <c r="B447" s="1" t="s">
        <v>1884</v>
      </c>
      <c r="C447">
        <v>37</v>
      </c>
      <c r="D447" s="1" t="s">
        <v>5</v>
      </c>
      <c r="E447" s="1" t="s">
        <v>1915</v>
      </c>
      <c r="F447" s="13">
        <v>37935</v>
      </c>
      <c r="G447" s="13" t="str">
        <f t="shared" si="30"/>
        <v>Monday</v>
      </c>
      <c r="H447" s="13" t="str">
        <f t="shared" si="31"/>
        <v>November</v>
      </c>
      <c r="I447" s="6">
        <v>1500</v>
      </c>
      <c r="J447" s="6" t="str">
        <f t="shared" si="32"/>
        <v>Recorded</v>
      </c>
      <c r="K447" t="s">
        <v>1922</v>
      </c>
      <c r="L447" t="str">
        <f t="shared" si="34"/>
        <v>Regular</v>
      </c>
      <c r="M447" t="str">
        <f t="shared" si="33"/>
        <v>Not Provided</v>
      </c>
    </row>
    <row r="448" spans="1:13" ht="15.75" x14ac:dyDescent="0.3">
      <c r="A448" s="1" t="s">
        <v>1441</v>
      </c>
      <c r="B448" s="1" t="s">
        <v>1884</v>
      </c>
      <c r="C448">
        <v>24</v>
      </c>
      <c r="D448" s="1" t="s">
        <v>5</v>
      </c>
      <c r="E448" s="1" t="s">
        <v>1915</v>
      </c>
      <c r="F448" s="13">
        <v>37935</v>
      </c>
      <c r="G448" s="13" t="str">
        <f t="shared" si="30"/>
        <v>Monday</v>
      </c>
      <c r="H448" s="13" t="str">
        <f t="shared" si="31"/>
        <v>November</v>
      </c>
      <c r="I448" s="6">
        <v>1500</v>
      </c>
      <c r="J448" s="6" t="str">
        <f t="shared" si="32"/>
        <v>Recorded</v>
      </c>
      <c r="K448" t="s">
        <v>1918</v>
      </c>
      <c r="L448" t="str">
        <f t="shared" si="34"/>
        <v>Regular</v>
      </c>
      <c r="M448" t="str">
        <f t="shared" si="33"/>
        <v>Not Provided</v>
      </c>
    </row>
    <row r="449" spans="1:13" ht="15.75" x14ac:dyDescent="0.3">
      <c r="A449" s="1" t="s">
        <v>1442</v>
      </c>
      <c r="B449" s="1" t="s">
        <v>1885</v>
      </c>
      <c r="C449">
        <v>20</v>
      </c>
      <c r="D449" s="1" t="s">
        <v>5</v>
      </c>
      <c r="E449" s="1" t="s">
        <v>189</v>
      </c>
      <c r="F449" s="13">
        <v>38809</v>
      </c>
      <c r="G449" s="13" t="str">
        <f t="shared" si="30"/>
        <v>Sunday</v>
      </c>
      <c r="H449" s="13" t="str">
        <f t="shared" si="31"/>
        <v>April</v>
      </c>
      <c r="I449" s="6">
        <v>9851.8259493926707</v>
      </c>
      <c r="J449" s="6" t="str">
        <f t="shared" si="32"/>
        <v>Recorded</v>
      </c>
      <c r="K449" t="s">
        <v>1919</v>
      </c>
      <c r="L449" t="str">
        <f t="shared" si="34"/>
        <v>Regular</v>
      </c>
      <c r="M449" t="str">
        <f t="shared" si="33"/>
        <v>Spain</v>
      </c>
    </row>
    <row r="450" spans="1:13" ht="15.75" x14ac:dyDescent="0.3">
      <c r="A450" s="1" t="s">
        <v>1443</v>
      </c>
      <c r="B450" s="1" t="s">
        <v>1886</v>
      </c>
      <c r="C450">
        <v>20</v>
      </c>
      <c r="D450" s="1" t="s">
        <v>8</v>
      </c>
      <c r="E450" s="1" t="s">
        <v>189</v>
      </c>
      <c r="F450" s="13">
        <v>43020</v>
      </c>
      <c r="G450" s="13" t="str">
        <f t="shared" si="30"/>
        <v>Thursday</v>
      </c>
      <c r="H450" s="13" t="str">
        <f t="shared" si="31"/>
        <v>October</v>
      </c>
      <c r="I450" s="6">
        <v>9500</v>
      </c>
      <c r="J450" s="6" t="str">
        <f t="shared" si="32"/>
        <v>Recorded</v>
      </c>
      <c r="K450" t="s">
        <v>1922</v>
      </c>
      <c r="L450" t="str">
        <f t="shared" si="34"/>
        <v>Regular</v>
      </c>
      <c r="M450" t="str">
        <f t="shared" si="33"/>
        <v>Not Provided</v>
      </c>
    </row>
    <row r="451" spans="1:13" ht="15.75" x14ac:dyDescent="0.3">
      <c r="A451" s="1" t="s">
        <v>1444</v>
      </c>
      <c r="B451" s="1" t="s">
        <v>1887</v>
      </c>
      <c r="C451">
        <v>30</v>
      </c>
      <c r="D451" s="1" t="s">
        <v>5</v>
      </c>
      <c r="E451" s="1" t="s">
        <v>189</v>
      </c>
      <c r="F451" s="13">
        <v>45305</v>
      </c>
      <c r="G451" s="13" t="str">
        <f t="shared" ref="G451:G482" si="35">TEXT(F451,"DDDD")</f>
        <v>Sunday</v>
      </c>
      <c r="H451" s="13" t="str">
        <f t="shared" ref="H451:H482" si="36">TEXT(F451,"MMMM")</f>
        <v>January</v>
      </c>
      <c r="I451" s="6">
        <v>1288.2023216088701</v>
      </c>
      <c r="J451" s="6" t="str">
        <f t="shared" ref="J451:J482" si="37">IF(LEN(TRIM(I451))=0,"Not Recorded","Recorded")</f>
        <v>Recorded</v>
      </c>
      <c r="K451" t="s">
        <v>1918</v>
      </c>
      <c r="L451" t="str">
        <f t="shared" si="34"/>
        <v>Regular</v>
      </c>
      <c r="M451" t="str">
        <f t="shared" ref="M451:M482" si="38">_xlfn.XLOOKUP(A451,A:A,K:K,"Not Provided",0)</f>
        <v>India</v>
      </c>
    </row>
    <row r="452" spans="1:13" ht="15.75" x14ac:dyDescent="0.3">
      <c r="A452" s="1" t="s">
        <v>1444</v>
      </c>
      <c r="B452" s="1" t="s">
        <v>1887</v>
      </c>
      <c r="C452">
        <v>30</v>
      </c>
      <c r="D452" s="1" t="s">
        <v>5</v>
      </c>
      <c r="E452" s="1" t="s">
        <v>189</v>
      </c>
      <c r="F452" s="13">
        <v>45305</v>
      </c>
      <c r="G452" s="13" t="str">
        <f t="shared" si="35"/>
        <v>Sunday</v>
      </c>
      <c r="H452" s="13" t="str">
        <f t="shared" si="36"/>
        <v>January</v>
      </c>
      <c r="I452" s="6">
        <v>1288.2023216088701</v>
      </c>
      <c r="J452" s="6" t="str">
        <f t="shared" si="37"/>
        <v>Recorded</v>
      </c>
      <c r="K452" t="s">
        <v>1922</v>
      </c>
      <c r="L452" t="str">
        <f t="shared" ref="L452:L482" si="39">IF(I452&gt;10000,"High value","Regular")</f>
        <v>Regular</v>
      </c>
      <c r="M452" t="str">
        <f t="shared" si="38"/>
        <v>India</v>
      </c>
    </row>
    <row r="453" spans="1:13" ht="15.75" x14ac:dyDescent="0.3">
      <c r="A453" s="1" t="s">
        <v>1445</v>
      </c>
      <c r="B453" s="1" t="s">
        <v>1888</v>
      </c>
      <c r="C453">
        <v>20</v>
      </c>
      <c r="D453" s="1" t="s">
        <v>8</v>
      </c>
      <c r="E453" s="1" t="s">
        <v>189</v>
      </c>
      <c r="F453" s="13">
        <v>45569</v>
      </c>
      <c r="G453" s="13" t="str">
        <f t="shared" si="35"/>
        <v>Friday</v>
      </c>
      <c r="H453" s="13" t="str">
        <f t="shared" si="36"/>
        <v>October</v>
      </c>
      <c r="I453" s="6">
        <v>234.029260524927</v>
      </c>
      <c r="J453" s="6" t="str">
        <f t="shared" si="37"/>
        <v>Recorded</v>
      </c>
      <c r="K453" t="s">
        <v>1917</v>
      </c>
      <c r="L453" t="str">
        <f t="shared" si="39"/>
        <v>Regular</v>
      </c>
      <c r="M453" t="str">
        <f t="shared" si="38"/>
        <v>Lagos</v>
      </c>
    </row>
    <row r="454" spans="1:13" ht="15.75" x14ac:dyDescent="0.3">
      <c r="A454" s="1" t="s">
        <v>1446</v>
      </c>
      <c r="B454" s="1" t="s">
        <v>1889</v>
      </c>
      <c r="C454">
        <v>64</v>
      </c>
      <c r="D454" s="1" t="s">
        <v>5</v>
      </c>
      <c r="E454" s="1" t="s">
        <v>189</v>
      </c>
      <c r="F454" s="13">
        <v>38620</v>
      </c>
      <c r="G454" s="13" t="str">
        <f t="shared" si="35"/>
        <v>Sunday</v>
      </c>
      <c r="H454" s="13" t="str">
        <f t="shared" si="36"/>
        <v>September</v>
      </c>
      <c r="I454" s="6">
        <v>1230</v>
      </c>
      <c r="J454" s="6" t="str">
        <f t="shared" si="37"/>
        <v>Recorded</v>
      </c>
      <c r="K454" t="s">
        <v>1922</v>
      </c>
      <c r="L454" t="str">
        <f t="shared" si="39"/>
        <v>Regular</v>
      </c>
      <c r="M454" t="str">
        <f t="shared" si="38"/>
        <v>Not Provided</v>
      </c>
    </row>
    <row r="455" spans="1:13" ht="15.75" x14ac:dyDescent="0.3">
      <c r="A455" s="1" t="s">
        <v>1447</v>
      </c>
      <c r="B455" s="1" t="s">
        <v>1890</v>
      </c>
      <c r="C455">
        <v>30</v>
      </c>
      <c r="D455" s="1" t="s">
        <v>8</v>
      </c>
      <c r="E455" s="1" t="s">
        <v>1915</v>
      </c>
      <c r="F455" s="13">
        <v>43695</v>
      </c>
      <c r="G455" s="13" t="str">
        <f t="shared" si="35"/>
        <v>Sunday</v>
      </c>
      <c r="H455" s="13" t="str">
        <f t="shared" si="36"/>
        <v>August</v>
      </c>
      <c r="I455" s="6">
        <v>1500</v>
      </c>
      <c r="J455" s="6" t="str">
        <f t="shared" si="37"/>
        <v>Recorded</v>
      </c>
      <c r="K455" t="s">
        <v>1917</v>
      </c>
      <c r="L455" t="str">
        <f t="shared" si="39"/>
        <v>Regular</v>
      </c>
      <c r="M455" t="str">
        <f t="shared" si="38"/>
        <v>Lagos</v>
      </c>
    </row>
    <row r="456" spans="1:13" ht="15.75" x14ac:dyDescent="0.3">
      <c r="A456" s="1" t="s">
        <v>1448</v>
      </c>
      <c r="B456" s="1" t="s">
        <v>1891</v>
      </c>
      <c r="C456">
        <v>30</v>
      </c>
      <c r="D456" s="1" t="s">
        <v>5</v>
      </c>
      <c r="E456" s="1" t="s">
        <v>189</v>
      </c>
      <c r="F456" s="13">
        <v>39523</v>
      </c>
      <c r="G456" s="13" t="str">
        <f t="shared" si="35"/>
        <v>Sunday</v>
      </c>
      <c r="H456" s="13" t="str">
        <f t="shared" si="36"/>
        <v>March</v>
      </c>
      <c r="I456" s="6">
        <v>1500</v>
      </c>
      <c r="J456" s="6" t="str">
        <f t="shared" si="37"/>
        <v>Recorded</v>
      </c>
      <c r="K456" t="s">
        <v>1922</v>
      </c>
      <c r="L456" t="str">
        <f t="shared" si="39"/>
        <v>Regular</v>
      </c>
      <c r="M456" t="str">
        <f t="shared" si="38"/>
        <v>Not Provided</v>
      </c>
    </row>
    <row r="457" spans="1:13" ht="15.75" x14ac:dyDescent="0.3">
      <c r="A457" s="1" t="s">
        <v>1449</v>
      </c>
      <c r="B457" s="1" t="s">
        <v>1892</v>
      </c>
      <c r="C457">
        <v>20</v>
      </c>
      <c r="D457" s="1" t="s">
        <v>5</v>
      </c>
      <c r="E457" s="1" t="s">
        <v>1915</v>
      </c>
      <c r="F457" s="13">
        <v>26309</v>
      </c>
      <c r="G457" s="13" t="str">
        <f t="shared" si="35"/>
        <v>Tuesday</v>
      </c>
      <c r="H457" s="13" t="str">
        <f t="shared" si="36"/>
        <v>January</v>
      </c>
      <c r="I457" s="6">
        <v>1928</v>
      </c>
      <c r="J457" s="6" t="str">
        <f t="shared" si="37"/>
        <v>Recorded</v>
      </c>
      <c r="K457" t="s">
        <v>1917</v>
      </c>
      <c r="L457" t="str">
        <f t="shared" si="39"/>
        <v>Regular</v>
      </c>
      <c r="M457" t="str">
        <f t="shared" si="38"/>
        <v>Lagos</v>
      </c>
    </row>
    <row r="458" spans="1:13" ht="15.75" x14ac:dyDescent="0.3">
      <c r="A458" s="1" t="s">
        <v>1450</v>
      </c>
      <c r="B458" s="1" t="s">
        <v>1893</v>
      </c>
      <c r="C458">
        <v>20</v>
      </c>
      <c r="D458" s="1" t="s">
        <v>5</v>
      </c>
      <c r="E458" s="1" t="s">
        <v>189</v>
      </c>
      <c r="F458" s="13">
        <v>45606</v>
      </c>
      <c r="G458" s="13" t="str">
        <f t="shared" si="35"/>
        <v>Sunday</v>
      </c>
      <c r="H458" s="13" t="str">
        <f t="shared" si="36"/>
        <v>November</v>
      </c>
      <c r="I458" s="6">
        <v>17000</v>
      </c>
      <c r="J458" s="6" t="str">
        <f t="shared" si="37"/>
        <v>Recorded</v>
      </c>
      <c r="K458" t="s">
        <v>1922</v>
      </c>
      <c r="L458" t="str">
        <f t="shared" si="39"/>
        <v>High value</v>
      </c>
      <c r="M458" t="str">
        <f t="shared" si="38"/>
        <v>Not Provided</v>
      </c>
    </row>
    <row r="459" spans="1:13" ht="15.75" x14ac:dyDescent="0.3">
      <c r="A459" s="1" t="s">
        <v>1451</v>
      </c>
      <c r="B459" s="1" t="s">
        <v>1894</v>
      </c>
      <c r="C459">
        <v>25</v>
      </c>
      <c r="D459" s="1" t="s">
        <v>8</v>
      </c>
      <c r="E459" s="1" t="s">
        <v>189</v>
      </c>
      <c r="F459" s="13">
        <v>36386</v>
      </c>
      <c r="G459" s="13" t="str">
        <f t="shared" si="35"/>
        <v>Saturday</v>
      </c>
      <c r="H459" s="13" t="str">
        <f t="shared" si="36"/>
        <v>August</v>
      </c>
      <c r="I459" s="6">
        <v>933.45756551658803</v>
      </c>
      <c r="J459" s="6" t="str">
        <f t="shared" si="37"/>
        <v>Recorded</v>
      </c>
      <c r="K459" t="s">
        <v>1916</v>
      </c>
      <c r="L459" t="str">
        <f t="shared" si="39"/>
        <v>Regular</v>
      </c>
      <c r="M459" t="str">
        <f t="shared" si="38"/>
        <v>South Africa</v>
      </c>
    </row>
    <row r="460" spans="1:13" ht="15.75" x14ac:dyDescent="0.3">
      <c r="A460" s="1" t="s">
        <v>1452</v>
      </c>
      <c r="B460" s="1" t="s">
        <v>1895</v>
      </c>
      <c r="C460">
        <v>20</v>
      </c>
      <c r="D460" s="1" t="s">
        <v>5</v>
      </c>
      <c r="E460" s="1" t="s">
        <v>189</v>
      </c>
      <c r="F460" s="13">
        <v>41704</v>
      </c>
      <c r="G460" s="13" t="str">
        <f t="shared" si="35"/>
        <v>Thursday</v>
      </c>
      <c r="H460" s="13" t="str">
        <f t="shared" si="36"/>
        <v>March</v>
      </c>
      <c r="I460" s="6">
        <v>5096.5701893169598</v>
      </c>
      <c r="J460" s="6" t="str">
        <f t="shared" si="37"/>
        <v>Recorded</v>
      </c>
      <c r="K460" t="s">
        <v>1922</v>
      </c>
      <c r="L460" t="str">
        <f t="shared" si="39"/>
        <v>Regular</v>
      </c>
      <c r="M460" t="str">
        <f t="shared" si="38"/>
        <v>Not Provided</v>
      </c>
    </row>
    <row r="461" spans="1:13" ht="15.75" x14ac:dyDescent="0.3">
      <c r="A461" s="1" t="s">
        <v>1453</v>
      </c>
      <c r="B461" s="1" t="s">
        <v>1896</v>
      </c>
      <c r="C461">
        <v>30</v>
      </c>
      <c r="D461" s="1" t="s">
        <v>5</v>
      </c>
      <c r="E461" s="1" t="s">
        <v>189</v>
      </c>
      <c r="F461" s="13">
        <v>45634</v>
      </c>
      <c r="G461" s="13" t="str">
        <f t="shared" si="35"/>
        <v>Sunday</v>
      </c>
      <c r="H461" s="13" t="str">
        <f t="shared" si="36"/>
        <v>December</v>
      </c>
      <c r="I461" s="6">
        <v>300.808682375297</v>
      </c>
      <c r="J461" s="6" t="str">
        <f t="shared" si="37"/>
        <v>Recorded</v>
      </c>
      <c r="K461" t="s">
        <v>1922</v>
      </c>
      <c r="L461" t="str">
        <f t="shared" si="39"/>
        <v>Regular</v>
      </c>
      <c r="M461" t="str">
        <f t="shared" si="38"/>
        <v>Not Provided</v>
      </c>
    </row>
    <row r="462" spans="1:13" ht="15.75" x14ac:dyDescent="0.3">
      <c r="A462" s="1" t="s">
        <v>1454</v>
      </c>
      <c r="B462" s="1" t="s">
        <v>1897</v>
      </c>
      <c r="C462">
        <v>30</v>
      </c>
      <c r="D462" s="1" t="s">
        <v>5</v>
      </c>
      <c r="E462" s="1" t="s">
        <v>1915</v>
      </c>
      <c r="F462" s="13">
        <v>45461</v>
      </c>
      <c r="G462" s="13" t="str">
        <f t="shared" si="35"/>
        <v>Tuesday</v>
      </c>
      <c r="H462" s="13" t="str">
        <f t="shared" si="36"/>
        <v>June</v>
      </c>
      <c r="I462" s="6">
        <v>1500</v>
      </c>
      <c r="J462" s="6" t="str">
        <f t="shared" si="37"/>
        <v>Recorded</v>
      </c>
      <c r="K462" t="s">
        <v>1919</v>
      </c>
      <c r="L462" t="str">
        <f t="shared" si="39"/>
        <v>Regular</v>
      </c>
      <c r="M462" t="str">
        <f t="shared" si="38"/>
        <v>Spain</v>
      </c>
    </row>
    <row r="463" spans="1:13" ht="15.75" x14ac:dyDescent="0.3">
      <c r="A463" s="1" t="s">
        <v>1455</v>
      </c>
      <c r="B463" s="1" t="s">
        <v>1898</v>
      </c>
      <c r="C463">
        <v>47</v>
      </c>
      <c r="D463" s="1" t="s">
        <v>8</v>
      </c>
      <c r="E463" s="1" t="s">
        <v>189</v>
      </c>
      <c r="F463" s="13">
        <v>45304</v>
      </c>
      <c r="G463" s="13" t="str">
        <f t="shared" si="35"/>
        <v>Saturday</v>
      </c>
      <c r="H463" s="13" t="str">
        <f t="shared" si="36"/>
        <v>January</v>
      </c>
      <c r="I463" s="6">
        <v>14000</v>
      </c>
      <c r="J463" s="6" t="str">
        <f t="shared" si="37"/>
        <v>Recorded</v>
      </c>
      <c r="K463" t="s">
        <v>1917</v>
      </c>
      <c r="L463" t="str">
        <f t="shared" si="39"/>
        <v>High value</v>
      </c>
      <c r="M463" t="str">
        <f t="shared" si="38"/>
        <v>Lagos</v>
      </c>
    </row>
    <row r="464" spans="1:13" ht="15.75" x14ac:dyDescent="0.3">
      <c r="A464" s="1" t="s">
        <v>1456</v>
      </c>
      <c r="B464" s="1" t="s">
        <v>1899</v>
      </c>
      <c r="C464">
        <v>32</v>
      </c>
      <c r="D464" s="1" t="s">
        <v>5</v>
      </c>
      <c r="E464" s="1" t="s">
        <v>189</v>
      </c>
      <c r="F464" s="13">
        <v>39030</v>
      </c>
      <c r="G464" s="13" t="str">
        <f t="shared" si="35"/>
        <v>Thursday</v>
      </c>
      <c r="H464" s="13" t="str">
        <f t="shared" si="36"/>
        <v>November</v>
      </c>
      <c r="I464" s="6">
        <v>1500</v>
      </c>
      <c r="J464" s="6" t="str">
        <f t="shared" si="37"/>
        <v>Recorded</v>
      </c>
      <c r="K464" t="s">
        <v>1922</v>
      </c>
      <c r="L464" t="str">
        <f t="shared" si="39"/>
        <v>Regular</v>
      </c>
      <c r="M464" t="str">
        <f t="shared" si="38"/>
        <v>Not Provided</v>
      </c>
    </row>
    <row r="465" spans="1:13" ht="15.75" x14ac:dyDescent="0.3">
      <c r="A465" s="1" t="s">
        <v>1457</v>
      </c>
      <c r="B465" s="1" t="s">
        <v>1900</v>
      </c>
      <c r="C465">
        <v>50</v>
      </c>
      <c r="D465" s="1" t="s">
        <v>8</v>
      </c>
      <c r="E465" s="1" t="s">
        <v>1915</v>
      </c>
      <c r="F465" s="13">
        <v>42701</v>
      </c>
      <c r="G465" s="13" t="str">
        <f t="shared" si="35"/>
        <v>Sunday</v>
      </c>
      <c r="H465" s="13" t="str">
        <f t="shared" si="36"/>
        <v>November</v>
      </c>
      <c r="I465" s="6">
        <v>1500</v>
      </c>
      <c r="J465" s="6" t="str">
        <f t="shared" si="37"/>
        <v>Recorded</v>
      </c>
      <c r="K465" t="s">
        <v>1916</v>
      </c>
      <c r="L465" t="str">
        <f t="shared" si="39"/>
        <v>Regular</v>
      </c>
      <c r="M465" t="str">
        <f t="shared" si="38"/>
        <v>South Africa</v>
      </c>
    </row>
    <row r="466" spans="1:13" ht="15.75" x14ac:dyDescent="0.3">
      <c r="A466" s="1" t="s">
        <v>1458</v>
      </c>
      <c r="B466" s="1" t="s">
        <v>1901</v>
      </c>
      <c r="C466">
        <v>20</v>
      </c>
      <c r="D466" s="1" t="s">
        <v>8</v>
      </c>
      <c r="E466" s="1" t="s">
        <v>1915</v>
      </c>
      <c r="F466" s="13">
        <v>38772</v>
      </c>
      <c r="G466" s="13" t="str">
        <f t="shared" si="35"/>
        <v>Friday</v>
      </c>
      <c r="H466" s="13" t="str">
        <f t="shared" si="36"/>
        <v>February</v>
      </c>
      <c r="I466" s="6">
        <v>1500</v>
      </c>
      <c r="J466" s="6" t="str">
        <f t="shared" si="37"/>
        <v>Recorded</v>
      </c>
      <c r="K466" t="s">
        <v>1917</v>
      </c>
      <c r="L466" t="str">
        <f t="shared" si="39"/>
        <v>Regular</v>
      </c>
      <c r="M466" t="str">
        <f t="shared" si="38"/>
        <v>Lagos</v>
      </c>
    </row>
    <row r="467" spans="1:13" ht="15.75" x14ac:dyDescent="0.3">
      <c r="A467" s="1" t="s">
        <v>1459</v>
      </c>
      <c r="B467" s="1" t="s">
        <v>1902</v>
      </c>
      <c r="C467">
        <v>20</v>
      </c>
      <c r="D467" s="1" t="s">
        <v>5</v>
      </c>
      <c r="E467" s="1" t="s">
        <v>1915</v>
      </c>
      <c r="F467" s="14">
        <v>44168</v>
      </c>
      <c r="G467" s="13" t="str">
        <f t="shared" si="35"/>
        <v>Thursday</v>
      </c>
      <c r="H467" s="13" t="str">
        <f t="shared" si="36"/>
        <v>December</v>
      </c>
      <c r="I467" s="6">
        <v>9487.1235244924701</v>
      </c>
      <c r="J467" s="6" t="str">
        <f t="shared" si="37"/>
        <v>Recorded</v>
      </c>
      <c r="K467" t="s">
        <v>1917</v>
      </c>
      <c r="L467" t="str">
        <f t="shared" si="39"/>
        <v>Regular</v>
      </c>
      <c r="M467" t="str">
        <f t="shared" si="38"/>
        <v>Lagos</v>
      </c>
    </row>
    <row r="468" spans="1:13" ht="15.75" x14ac:dyDescent="0.3">
      <c r="A468" s="1" t="s">
        <v>1460</v>
      </c>
      <c r="B468" s="1" t="s">
        <v>1903</v>
      </c>
      <c r="C468">
        <v>44</v>
      </c>
      <c r="D468" s="1" t="s">
        <v>8</v>
      </c>
      <c r="E468" s="1" t="s">
        <v>189</v>
      </c>
      <c r="F468" s="13">
        <v>41162</v>
      </c>
      <c r="G468" s="13" t="str">
        <f t="shared" si="35"/>
        <v>Monday</v>
      </c>
      <c r="H468" s="13" t="str">
        <f t="shared" si="36"/>
        <v>September</v>
      </c>
      <c r="I468" s="6">
        <v>9500</v>
      </c>
      <c r="J468" s="6" t="str">
        <f t="shared" si="37"/>
        <v>Recorded</v>
      </c>
      <c r="K468" t="s">
        <v>1922</v>
      </c>
      <c r="L468" t="str">
        <f t="shared" si="39"/>
        <v>Regular</v>
      </c>
      <c r="M468" t="str">
        <f t="shared" si="38"/>
        <v>Not Provided</v>
      </c>
    </row>
    <row r="469" spans="1:13" ht="15.75" x14ac:dyDescent="0.3">
      <c r="A469" s="1" t="s">
        <v>1461</v>
      </c>
      <c r="B469" s="1" t="s">
        <v>1904</v>
      </c>
      <c r="C469">
        <v>30</v>
      </c>
      <c r="D469" s="1" t="s">
        <v>8</v>
      </c>
      <c r="E469" s="1" t="s">
        <v>189</v>
      </c>
      <c r="F469" s="13">
        <v>45331</v>
      </c>
      <c r="G469" s="13" t="str">
        <f t="shared" si="35"/>
        <v>Friday</v>
      </c>
      <c r="H469" s="13" t="str">
        <f t="shared" si="36"/>
        <v>February</v>
      </c>
      <c r="I469" s="6">
        <v>9500</v>
      </c>
      <c r="J469" s="6" t="str">
        <f t="shared" si="37"/>
        <v>Recorded</v>
      </c>
      <c r="K469" t="s">
        <v>1922</v>
      </c>
      <c r="L469" t="str">
        <f t="shared" si="39"/>
        <v>Regular</v>
      </c>
      <c r="M469" t="str">
        <f t="shared" si="38"/>
        <v>Not Provided</v>
      </c>
    </row>
    <row r="470" spans="1:13" ht="15.75" x14ac:dyDescent="0.3">
      <c r="A470" s="1" t="s">
        <v>1462</v>
      </c>
      <c r="B470" s="1" t="s">
        <v>1905</v>
      </c>
      <c r="C470">
        <v>30</v>
      </c>
      <c r="D470" s="1" t="s">
        <v>8</v>
      </c>
      <c r="E470" s="1" t="s">
        <v>189</v>
      </c>
      <c r="F470" s="13">
        <v>30597</v>
      </c>
      <c r="G470" s="13" t="str">
        <f t="shared" si="35"/>
        <v>Saturday</v>
      </c>
      <c r="H470" s="13" t="str">
        <f t="shared" si="36"/>
        <v>October</v>
      </c>
      <c r="I470" s="6">
        <v>9500</v>
      </c>
      <c r="J470" s="6" t="str">
        <f t="shared" si="37"/>
        <v>Recorded</v>
      </c>
      <c r="K470" t="s">
        <v>1918</v>
      </c>
      <c r="L470" t="str">
        <f t="shared" si="39"/>
        <v>Regular</v>
      </c>
      <c r="M470" t="str">
        <f t="shared" si="38"/>
        <v>India</v>
      </c>
    </row>
    <row r="471" spans="1:13" ht="15.75" x14ac:dyDescent="0.3">
      <c r="A471" s="1" t="s">
        <v>1463</v>
      </c>
      <c r="B471" s="1" t="s">
        <v>1906</v>
      </c>
      <c r="C471">
        <v>20</v>
      </c>
      <c r="D471" s="1" t="s">
        <v>8</v>
      </c>
      <c r="E471" s="1" t="s">
        <v>189</v>
      </c>
      <c r="F471" s="13">
        <v>26585</v>
      </c>
      <c r="G471" s="13" t="str">
        <f t="shared" si="35"/>
        <v>Friday</v>
      </c>
      <c r="H471" s="13" t="str">
        <f t="shared" si="36"/>
        <v>October</v>
      </c>
      <c r="I471" s="6">
        <v>1500</v>
      </c>
      <c r="J471" s="6" t="str">
        <f t="shared" si="37"/>
        <v>Recorded</v>
      </c>
      <c r="K471" t="s">
        <v>1918</v>
      </c>
      <c r="L471" t="str">
        <f t="shared" si="39"/>
        <v>Regular</v>
      </c>
      <c r="M471" t="str">
        <f t="shared" si="38"/>
        <v>India</v>
      </c>
    </row>
    <row r="472" spans="1:13" ht="15.75" x14ac:dyDescent="0.3">
      <c r="A472" s="1" t="s">
        <v>1464</v>
      </c>
      <c r="B472" s="1" t="s">
        <v>1907</v>
      </c>
      <c r="C472">
        <v>30</v>
      </c>
      <c r="D472" s="1" t="s">
        <v>8</v>
      </c>
      <c r="E472" s="1" t="s">
        <v>1915</v>
      </c>
      <c r="F472" s="14">
        <v>44819</v>
      </c>
      <c r="G472" s="13" t="str">
        <f t="shared" si="35"/>
        <v>Thursday</v>
      </c>
      <c r="H472" s="13" t="str">
        <f t="shared" si="36"/>
        <v>September</v>
      </c>
      <c r="I472" s="6">
        <v>1513.3436847289099</v>
      </c>
      <c r="J472" s="6" t="str">
        <f t="shared" si="37"/>
        <v>Recorded</v>
      </c>
      <c r="K472" t="s">
        <v>1922</v>
      </c>
      <c r="L472" t="str">
        <f t="shared" si="39"/>
        <v>Regular</v>
      </c>
      <c r="M472" t="str">
        <f t="shared" si="38"/>
        <v>Not Provided</v>
      </c>
    </row>
    <row r="473" spans="1:13" ht="15.75" x14ac:dyDescent="0.3">
      <c r="A473" s="1" t="s">
        <v>1465</v>
      </c>
      <c r="B473" s="1" t="s">
        <v>1908</v>
      </c>
      <c r="C473">
        <v>20</v>
      </c>
      <c r="D473" s="1" t="s">
        <v>5</v>
      </c>
      <c r="E473" s="1" t="s">
        <v>189</v>
      </c>
      <c r="F473" s="13">
        <v>29712</v>
      </c>
      <c r="G473" s="13" t="str">
        <f t="shared" si="35"/>
        <v>Wednesday</v>
      </c>
      <c r="H473" s="13" t="str">
        <f t="shared" si="36"/>
        <v>May</v>
      </c>
      <c r="I473" s="6">
        <v>9475.2265321114992</v>
      </c>
      <c r="J473" s="6" t="str">
        <f t="shared" si="37"/>
        <v>Recorded</v>
      </c>
      <c r="K473" t="s">
        <v>1919</v>
      </c>
      <c r="L473" t="str">
        <f t="shared" si="39"/>
        <v>Regular</v>
      </c>
      <c r="M473" t="str">
        <f t="shared" si="38"/>
        <v>Spain</v>
      </c>
    </row>
    <row r="474" spans="1:13" ht="15.75" x14ac:dyDescent="0.3">
      <c r="A474" s="1" t="s">
        <v>1466</v>
      </c>
      <c r="B474" s="1" t="s">
        <v>1909</v>
      </c>
      <c r="C474">
        <v>30</v>
      </c>
      <c r="D474" s="1" t="s">
        <v>5</v>
      </c>
      <c r="E474" s="1" t="s">
        <v>189</v>
      </c>
      <c r="F474" s="13">
        <v>44203</v>
      </c>
      <c r="G474" s="13" t="str">
        <f t="shared" si="35"/>
        <v>Thursday</v>
      </c>
      <c r="H474" s="13" t="str">
        <f t="shared" si="36"/>
        <v>January</v>
      </c>
      <c r="I474" s="6">
        <v>25000</v>
      </c>
      <c r="J474" s="6" t="str">
        <f t="shared" si="37"/>
        <v>Recorded</v>
      </c>
      <c r="K474" t="s">
        <v>1922</v>
      </c>
      <c r="L474" t="str">
        <f t="shared" si="39"/>
        <v>High value</v>
      </c>
      <c r="M474" t="str">
        <f t="shared" si="38"/>
        <v>Not Provided</v>
      </c>
    </row>
    <row r="475" spans="1:13" ht="15.75" x14ac:dyDescent="0.3">
      <c r="A475" s="1" t="s">
        <v>1466</v>
      </c>
      <c r="B475" s="1" t="s">
        <v>1909</v>
      </c>
      <c r="C475">
        <v>20</v>
      </c>
      <c r="D475" s="1" t="s">
        <v>5</v>
      </c>
      <c r="E475" s="1" t="s">
        <v>189</v>
      </c>
      <c r="F475" s="13">
        <v>44203</v>
      </c>
      <c r="G475" s="13" t="str">
        <f t="shared" si="35"/>
        <v>Thursday</v>
      </c>
      <c r="H475" s="13" t="str">
        <f t="shared" si="36"/>
        <v>January</v>
      </c>
      <c r="I475" s="6"/>
      <c r="J475" s="6" t="str">
        <f t="shared" si="37"/>
        <v>Not Recorded</v>
      </c>
      <c r="K475" t="s">
        <v>1922</v>
      </c>
      <c r="L475" t="str">
        <f t="shared" si="39"/>
        <v>Regular</v>
      </c>
      <c r="M475" t="str">
        <f t="shared" si="38"/>
        <v>Not Provided</v>
      </c>
    </row>
    <row r="476" spans="1:13" ht="15.75" x14ac:dyDescent="0.3">
      <c r="A476" s="1" t="s">
        <v>1466</v>
      </c>
      <c r="B476" s="1" t="s">
        <v>1909</v>
      </c>
      <c r="C476">
        <v>20</v>
      </c>
      <c r="D476" s="1" t="s">
        <v>5</v>
      </c>
      <c r="E476" s="1" t="s">
        <v>189</v>
      </c>
      <c r="F476" s="13">
        <v>44203</v>
      </c>
      <c r="G476" s="13" t="str">
        <f t="shared" si="35"/>
        <v>Thursday</v>
      </c>
      <c r="H476" s="13" t="str">
        <f t="shared" si="36"/>
        <v>January</v>
      </c>
      <c r="I476" s="6"/>
      <c r="J476" s="6" t="str">
        <f t="shared" si="37"/>
        <v>Not Recorded</v>
      </c>
      <c r="K476" t="s">
        <v>1918</v>
      </c>
      <c r="L476" t="str">
        <f t="shared" si="39"/>
        <v>Regular</v>
      </c>
      <c r="M476" t="str">
        <f t="shared" si="38"/>
        <v>Not Provided</v>
      </c>
    </row>
    <row r="477" spans="1:13" ht="15.75" x14ac:dyDescent="0.3">
      <c r="A477" s="1" t="s">
        <v>1466</v>
      </c>
      <c r="B477" s="1" t="s">
        <v>1909</v>
      </c>
      <c r="C477">
        <v>30</v>
      </c>
      <c r="D477" s="1" t="s">
        <v>5</v>
      </c>
      <c r="E477" s="1" t="s">
        <v>189</v>
      </c>
      <c r="F477" s="13">
        <v>44203</v>
      </c>
      <c r="G477" s="13" t="str">
        <f t="shared" si="35"/>
        <v>Thursday</v>
      </c>
      <c r="H477" s="13" t="str">
        <f t="shared" si="36"/>
        <v>January</v>
      </c>
      <c r="I477" s="6"/>
      <c r="J477" s="6" t="str">
        <f t="shared" si="37"/>
        <v>Not Recorded</v>
      </c>
      <c r="K477" t="s">
        <v>1918</v>
      </c>
      <c r="L477" t="str">
        <f t="shared" si="39"/>
        <v>Regular</v>
      </c>
      <c r="M477" t="str">
        <f t="shared" si="38"/>
        <v>Not Provided</v>
      </c>
    </row>
    <row r="478" spans="1:13" ht="15.75" x14ac:dyDescent="0.3">
      <c r="A478" s="1" t="s">
        <v>1467</v>
      </c>
      <c r="B478" s="1" t="s">
        <v>1910</v>
      </c>
      <c r="C478">
        <v>30</v>
      </c>
      <c r="D478" s="1" t="s">
        <v>5</v>
      </c>
      <c r="E478" s="1" t="s">
        <v>189</v>
      </c>
      <c r="F478" s="14">
        <v>44316</v>
      </c>
      <c r="G478" s="13" t="str">
        <f t="shared" si="35"/>
        <v>Friday</v>
      </c>
      <c r="H478" s="13" t="str">
        <f t="shared" si="36"/>
        <v>April</v>
      </c>
      <c r="I478" s="6">
        <v>587.12550469514304</v>
      </c>
      <c r="J478" s="6" t="str">
        <f t="shared" si="37"/>
        <v>Recorded</v>
      </c>
      <c r="K478" t="s">
        <v>1919</v>
      </c>
      <c r="L478" t="str">
        <f t="shared" si="39"/>
        <v>Regular</v>
      </c>
      <c r="M478" t="str">
        <f t="shared" si="38"/>
        <v>Spain</v>
      </c>
    </row>
    <row r="479" spans="1:13" ht="15.75" x14ac:dyDescent="0.3">
      <c r="A479" s="1" t="s">
        <v>1468</v>
      </c>
      <c r="B479" s="1" t="s">
        <v>1911</v>
      </c>
      <c r="C479">
        <v>20</v>
      </c>
      <c r="D479" s="1" t="s">
        <v>5</v>
      </c>
      <c r="E479" s="1" t="s">
        <v>1915</v>
      </c>
      <c r="F479" s="13">
        <v>45572</v>
      </c>
      <c r="G479" s="13" t="str">
        <f t="shared" si="35"/>
        <v>Monday</v>
      </c>
      <c r="H479" s="13" t="str">
        <f t="shared" si="36"/>
        <v>October</v>
      </c>
      <c r="I479" s="6">
        <v>9800</v>
      </c>
      <c r="J479" s="6" t="str">
        <f t="shared" si="37"/>
        <v>Recorded</v>
      </c>
      <c r="K479" t="s">
        <v>1919</v>
      </c>
      <c r="L479" t="str">
        <f t="shared" si="39"/>
        <v>Regular</v>
      </c>
      <c r="M479" t="str">
        <f t="shared" si="38"/>
        <v>Spain</v>
      </c>
    </row>
    <row r="480" spans="1:13" ht="15.75" x14ac:dyDescent="0.3">
      <c r="A480" s="1" t="s">
        <v>1469</v>
      </c>
      <c r="B480" s="1" t="s">
        <v>1912</v>
      </c>
      <c r="C480">
        <v>30</v>
      </c>
      <c r="D480" s="1" t="s">
        <v>8</v>
      </c>
      <c r="E480" s="1" t="s">
        <v>1915</v>
      </c>
      <c r="F480" s="14">
        <v>43962</v>
      </c>
      <c r="G480" s="13" t="str">
        <f t="shared" si="35"/>
        <v>Monday</v>
      </c>
      <c r="H480" s="13" t="str">
        <f t="shared" si="36"/>
        <v>May</v>
      </c>
      <c r="I480" s="6">
        <v>8500</v>
      </c>
      <c r="J480" s="6" t="str">
        <f t="shared" si="37"/>
        <v>Recorded</v>
      </c>
      <c r="K480" t="s">
        <v>1916</v>
      </c>
      <c r="L480" t="str">
        <f t="shared" si="39"/>
        <v>Regular</v>
      </c>
      <c r="M480" t="str">
        <f t="shared" si="38"/>
        <v>South Africa</v>
      </c>
    </row>
    <row r="481" spans="1:13" ht="15.75" x14ac:dyDescent="0.3">
      <c r="A481" s="1" t="s">
        <v>1470</v>
      </c>
      <c r="B481" s="1" t="s">
        <v>1913</v>
      </c>
      <c r="C481">
        <v>47</v>
      </c>
      <c r="D481" s="1" t="s">
        <v>5</v>
      </c>
      <c r="E481" s="1" t="s">
        <v>189</v>
      </c>
      <c r="F481" s="13">
        <v>45356</v>
      </c>
      <c r="G481" s="13" t="str">
        <f t="shared" si="35"/>
        <v>Tuesday</v>
      </c>
      <c r="H481" s="13" t="str">
        <f t="shared" si="36"/>
        <v>March</v>
      </c>
      <c r="I481" s="6">
        <v>9675.4025029014301</v>
      </c>
      <c r="J481" s="6" t="str">
        <f t="shared" si="37"/>
        <v>Recorded</v>
      </c>
      <c r="K481" t="s">
        <v>1919</v>
      </c>
      <c r="L481" t="str">
        <f t="shared" si="39"/>
        <v>Regular</v>
      </c>
      <c r="M481" t="str">
        <f t="shared" si="38"/>
        <v>Spain</v>
      </c>
    </row>
    <row r="482" spans="1:13" ht="15.75" x14ac:dyDescent="0.3">
      <c r="A482" s="1" t="s">
        <v>1471</v>
      </c>
      <c r="B482" s="1" t="s">
        <v>1914</v>
      </c>
      <c r="C482">
        <v>20</v>
      </c>
      <c r="D482" s="1" t="s">
        <v>5</v>
      </c>
      <c r="E482" s="1" t="s">
        <v>189</v>
      </c>
      <c r="F482" s="13">
        <v>34443</v>
      </c>
      <c r="G482" s="13" t="str">
        <f t="shared" si="35"/>
        <v>Tuesday</v>
      </c>
      <c r="H482" s="13" t="str">
        <f t="shared" si="36"/>
        <v>April</v>
      </c>
      <c r="I482" s="6">
        <v>957.29252547226599</v>
      </c>
      <c r="J482" s="6" t="str">
        <f t="shared" si="37"/>
        <v>Recorded</v>
      </c>
      <c r="K482" t="s">
        <v>1916</v>
      </c>
      <c r="L482" t="str">
        <f t="shared" si="39"/>
        <v>Regular</v>
      </c>
      <c r="M482" t="str">
        <f t="shared" si="38"/>
        <v>South Africa</v>
      </c>
    </row>
  </sheetData>
  <autoFilter ref="H1:H482" xr:uid="{B0728FEF-F65E-465B-A056-B15B350D6E28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B76C-CADC-4A74-BB27-CF8061A2DAB8}">
  <dimension ref="A1:O482"/>
  <sheetViews>
    <sheetView zoomScale="90" zoomScaleNormal="90" workbookViewId="0">
      <selection activeCell="C25" sqref="C25"/>
    </sheetView>
  </sheetViews>
  <sheetFormatPr defaultRowHeight="15" x14ac:dyDescent="0.25"/>
  <cols>
    <col min="1" max="1" width="18.85546875" customWidth="1"/>
    <col min="2" max="3" width="23.140625" customWidth="1"/>
    <col min="4" max="4" width="15.5703125" customWidth="1"/>
    <col min="5" max="5" width="12.28515625" bestFit="1" customWidth="1"/>
    <col min="6" max="6" width="20.42578125" bestFit="1" customWidth="1"/>
    <col min="7" max="7" width="20" bestFit="1" customWidth="1"/>
    <col min="10" max="10" width="13.42578125" style="7" bestFit="1" customWidth="1"/>
    <col min="11" max="11" width="26.42578125" bestFit="1" customWidth="1"/>
    <col min="12" max="12" width="14.28515625" bestFit="1" customWidth="1"/>
    <col min="13" max="13" width="16.28515625" bestFit="1" customWidth="1"/>
    <col min="15" max="15" width="23.42578125" style="7" bestFit="1" customWidth="1"/>
  </cols>
  <sheetData>
    <row r="1" spans="1:15" ht="16.5" x14ac:dyDescent="0.3">
      <c r="A1" s="20" t="s">
        <v>1951</v>
      </c>
      <c r="B1" s="20"/>
      <c r="C1" s="20"/>
      <c r="F1" s="29" t="s">
        <v>1950</v>
      </c>
      <c r="G1" s="29"/>
      <c r="J1" s="28" t="s">
        <v>1962</v>
      </c>
      <c r="K1" s="28"/>
      <c r="L1" s="11"/>
      <c r="M1" s="11"/>
      <c r="N1" s="11"/>
      <c r="O1" s="10"/>
    </row>
    <row r="2" spans="1:15" ht="15.75" x14ac:dyDescent="0.3">
      <c r="A2" s="11" t="s">
        <v>567</v>
      </c>
      <c r="B2" s="11" t="s">
        <v>1924</v>
      </c>
      <c r="C2" s="11" t="s">
        <v>1925</v>
      </c>
      <c r="E2" s="11"/>
      <c r="F2" s="11" t="s">
        <v>1938</v>
      </c>
      <c r="G2" s="16">
        <f>SUMIF('Cleaned Data'!H:H,'Analysis Sheet'!$F2,'Cleaned Data'!I:I)</f>
        <v>322096.52630533976</v>
      </c>
      <c r="J2" s="11" t="s">
        <v>2</v>
      </c>
      <c r="K2" s="11" t="s">
        <v>1961</v>
      </c>
      <c r="O2" s="6"/>
    </row>
    <row r="3" spans="1:15" ht="15.75" x14ac:dyDescent="0.3">
      <c r="A3" s="11" t="s">
        <v>1917</v>
      </c>
      <c r="B3" s="11">
        <f>COUNTIF('Cleaned Data'!K:K,$A3)</f>
        <v>91</v>
      </c>
      <c r="C3" s="16">
        <f>SUMIF('Cleaned Data'!$K:$K,$A3,'Cleaned Data'!$I:$I)</f>
        <v>601615.17119205184</v>
      </c>
      <c r="F3" s="11" t="s">
        <v>1948</v>
      </c>
      <c r="G3" s="16">
        <f>SUMIF('Cleaned Data'!H:H,'Analysis Sheet'!$F3,'Cleaned Data'!I:I)</f>
        <v>286792.9316543251</v>
      </c>
      <c r="J3" s="11" t="s">
        <v>5</v>
      </c>
      <c r="K3" s="16">
        <f>SUMIF('Cleaned Data'!D:D,'Analysis Sheet'!$J3,'Cleaned Data'!I:I)</f>
        <v>1498241.7059580744</v>
      </c>
      <c r="O3" s="6"/>
    </row>
    <row r="4" spans="1:15" ht="15.75" x14ac:dyDescent="0.3">
      <c r="A4" s="11" t="s">
        <v>1919</v>
      </c>
      <c r="B4" s="11">
        <f>COUNTIF('Cleaned Data'!K:K,$A4)</f>
        <v>80</v>
      </c>
      <c r="C4" s="16">
        <f>SUMIF('Cleaned Data'!$K:$K,$A4,'Cleaned Data'!$I:$I)</f>
        <v>468878.5825169172</v>
      </c>
      <c r="F4" s="11" t="s">
        <v>1939</v>
      </c>
      <c r="G4" s="16">
        <f>SUMIF('Cleaned Data'!H:H,'Analysis Sheet'!$F4,'Cleaned Data'!I:I)</f>
        <v>183293.38517734961</v>
      </c>
      <c r="J4" s="11" t="s">
        <v>8</v>
      </c>
      <c r="K4" s="16">
        <f>SUMIF('Cleaned Data'!D:D,'Analysis Sheet'!$J4,'Cleaned Data'!I:I)</f>
        <v>1310698.5623416915</v>
      </c>
      <c r="O4" s="6"/>
    </row>
    <row r="5" spans="1:15" ht="15.75" x14ac:dyDescent="0.3">
      <c r="A5" s="11" t="s">
        <v>1918</v>
      </c>
      <c r="B5" s="11">
        <f>COUNTIF('Cleaned Data'!K:K,$A5)</f>
        <v>60</v>
      </c>
      <c r="C5" s="16">
        <f>SUMIF('Cleaned Data'!$K:$K,$A5,'Cleaned Data'!$I:$I)</f>
        <v>329239.74632370134</v>
      </c>
      <c r="F5" s="11" t="s">
        <v>1940</v>
      </c>
      <c r="G5" s="16">
        <f>SUMIF('Cleaned Data'!H:H,'Analysis Sheet'!$F5,'Cleaned Data'!I:I)</f>
        <v>316595.83178626961</v>
      </c>
      <c r="J5" s="11"/>
      <c r="K5" s="16"/>
      <c r="O5" s="6"/>
    </row>
    <row r="6" spans="1:15" ht="15.75" x14ac:dyDescent="0.3">
      <c r="A6" s="11" t="s">
        <v>1916</v>
      </c>
      <c r="B6" s="11">
        <f>COUNTIF('Cleaned Data'!K:K,$A6)</f>
        <v>68</v>
      </c>
      <c r="C6" s="16">
        <f>SUMIF('Cleaned Data'!$K:$K,$A6,'Cleaned Data'!$I:$I)</f>
        <v>322588.3580681798</v>
      </c>
      <c r="F6" s="11" t="s">
        <v>1941</v>
      </c>
      <c r="G6" s="16">
        <f>SUMIF('Cleaned Data'!H:H,'Analysis Sheet'!$F6,'Cleaned Data'!I:I)</f>
        <v>273687.49288693612</v>
      </c>
      <c r="J6"/>
      <c r="O6" s="6"/>
    </row>
    <row r="7" spans="1:15" ht="15.75" x14ac:dyDescent="0.3">
      <c r="A7" s="11" t="s">
        <v>1965</v>
      </c>
      <c r="B7" s="11">
        <f>SUM(B3:B6)</f>
        <v>299</v>
      </c>
      <c r="C7" s="16">
        <f>SUM(C3:C6)</f>
        <v>1722321.8581008501</v>
      </c>
      <c r="F7" s="11" t="s">
        <v>1942</v>
      </c>
      <c r="G7" s="16">
        <f>SUMIF('Cleaned Data'!H:H,'Analysis Sheet'!$F7,'Cleaned Data'!I:I)</f>
        <v>212244.14596715872</v>
      </c>
      <c r="J7"/>
      <c r="O7" s="6"/>
    </row>
    <row r="8" spans="1:15" ht="15.75" x14ac:dyDescent="0.3">
      <c r="F8" s="11" t="s">
        <v>1943</v>
      </c>
      <c r="G8" s="16">
        <f>SUMIF('Cleaned Data'!H:H,'Analysis Sheet'!$F8,'Cleaned Data'!I:I)</f>
        <v>254748.30864232732</v>
      </c>
      <c r="J8" s="6"/>
      <c r="O8" s="6"/>
    </row>
    <row r="9" spans="1:15" ht="15.75" x14ac:dyDescent="0.3">
      <c r="F9" s="11" t="s">
        <v>1944</v>
      </c>
      <c r="G9" s="16">
        <f>SUMIF('Cleaned Data'!H:H,'Analysis Sheet'!$F9,'Cleaned Data'!I:I)</f>
        <v>295542.82804816548</v>
      </c>
      <c r="J9" s="6"/>
      <c r="O9" s="6"/>
    </row>
    <row r="10" spans="1:15" ht="15.75" x14ac:dyDescent="0.3">
      <c r="F10" s="11" t="s">
        <v>1945</v>
      </c>
      <c r="G10" s="16">
        <f>SUMIF('Cleaned Data'!H:H,'Analysis Sheet'!$F10,'Cleaned Data'!I:I)</f>
        <v>203770.43155984904</v>
      </c>
      <c r="J10" s="6"/>
      <c r="O10" s="6"/>
    </row>
    <row r="11" spans="1:15" ht="15.75" x14ac:dyDescent="0.3">
      <c r="A11" s="30" t="s">
        <v>1928</v>
      </c>
      <c r="B11" s="30"/>
      <c r="C11" s="30"/>
      <c r="F11" s="11" t="s">
        <v>1946</v>
      </c>
      <c r="G11" s="16">
        <f>SUMIF('Cleaned Data'!H:H,'Analysis Sheet'!$F11,'Cleaned Data'!I:I)</f>
        <v>102512.41109853468</v>
      </c>
      <c r="J11" s="6"/>
      <c r="L11" s="18"/>
      <c r="M11" s="11"/>
      <c r="O11" s="6"/>
    </row>
    <row r="12" spans="1:15" ht="15.75" x14ac:dyDescent="0.3">
      <c r="A12" s="11" t="s">
        <v>2</v>
      </c>
      <c r="B12" s="11" t="s">
        <v>1926</v>
      </c>
      <c r="C12" s="11" t="s">
        <v>1927</v>
      </c>
      <c r="F12" s="11" t="s">
        <v>1949</v>
      </c>
      <c r="G12" s="16">
        <f>SUMIF('Cleaned Data'!H:H,'Analysis Sheet'!$F12,'Cleaned Data'!I:I)</f>
        <v>196744.17426792713</v>
      </c>
      <c r="J12" s="6"/>
      <c r="L12" s="11"/>
      <c r="M12" s="11"/>
      <c r="O12" s="6"/>
    </row>
    <row r="13" spans="1:15" ht="15.75" x14ac:dyDescent="0.3">
      <c r="A13" s="11" t="s">
        <v>5</v>
      </c>
      <c r="B13" s="16">
        <f>SUMIF('Cleaned Data'!D:D,"Male",'Cleaned Data'!I:I)</f>
        <v>1498241.7059580744</v>
      </c>
      <c r="C13" s="16">
        <f>AVERAGEIF('Cleaned Data'!D:D,"Male",'Cleaned Data'!I:I)</f>
        <v>6115.2722692166299</v>
      </c>
      <c r="F13" s="11" t="s">
        <v>1947</v>
      </c>
      <c r="G13" s="16">
        <f>SUMIF('Cleaned Data'!H:H,'Analysis Sheet'!$F13,'Cleaned Data'!I:I)</f>
        <v>160911.80090558328</v>
      </c>
      <c r="J13" s="6"/>
      <c r="L13" s="11"/>
      <c r="M13" s="11"/>
      <c r="O13" s="6"/>
    </row>
    <row r="14" spans="1:15" ht="15.75" x14ac:dyDescent="0.3">
      <c r="A14" s="11" t="s">
        <v>8</v>
      </c>
      <c r="B14" s="16">
        <f>SUMIF('Cleaned Data'!D:D,"Female",'Cleaned Data'!I:I)</f>
        <v>1310698.5623416915</v>
      </c>
      <c r="C14" s="16">
        <f>AVERAGEIF('Cleaned Data'!D:D,"Female",'Cleaned Data'!I:I)</f>
        <v>5799.5511608039442</v>
      </c>
      <c r="J14" s="6"/>
      <c r="L14" s="11"/>
      <c r="M14" s="11"/>
      <c r="O14" s="6"/>
    </row>
    <row r="15" spans="1:15" ht="15.75" x14ac:dyDescent="0.3">
      <c r="J15" s="6"/>
      <c r="L15" s="26"/>
      <c r="M15" s="26"/>
      <c r="O15" s="6"/>
    </row>
    <row r="16" spans="1:15" ht="15.75" x14ac:dyDescent="0.3">
      <c r="F16" s="30"/>
      <c r="G16" s="30"/>
      <c r="J16" s="6"/>
      <c r="L16" s="11"/>
      <c r="M16" s="11"/>
      <c r="O16" s="6"/>
    </row>
    <row r="17" spans="1:15" ht="15.75" x14ac:dyDescent="0.3">
      <c r="A17" s="30" t="s">
        <v>1929</v>
      </c>
      <c r="B17" s="30"/>
      <c r="F17" s="11"/>
      <c r="G17" s="16"/>
      <c r="J17" s="6"/>
      <c r="L17" s="11"/>
      <c r="M17" s="11"/>
      <c r="O17" s="6"/>
    </row>
    <row r="18" spans="1:15" ht="15.75" x14ac:dyDescent="0.3">
      <c r="A18" s="16" t="s">
        <v>189</v>
      </c>
      <c r="B18" s="17">
        <f>AVERAGEIF('Cleaned Data'!E:E,"Single",'Cleaned Data'!I:I)</f>
        <v>6480.8970332201325</v>
      </c>
      <c r="F18" s="29" t="s">
        <v>1957</v>
      </c>
      <c r="G18" s="29"/>
      <c r="J18" s="6"/>
      <c r="O18" s="6"/>
    </row>
    <row r="19" spans="1:15" ht="15.75" x14ac:dyDescent="0.3">
      <c r="A19" s="16" t="s">
        <v>1915</v>
      </c>
      <c r="B19" s="17">
        <f>AVERAGEIF('Cleaned Data'!E:E,"Married",'Cleaned Data'!I:I)</f>
        <v>5393.5656298856829</v>
      </c>
      <c r="F19" s="11" t="s">
        <v>1955</v>
      </c>
      <c r="G19" s="22">
        <f>COUNTIF('Cleaned Data'!L:L,"Regular")</f>
        <v>457</v>
      </c>
      <c r="J19" s="6"/>
      <c r="O19" s="6"/>
    </row>
    <row r="20" spans="1:15" ht="15.75" x14ac:dyDescent="0.3">
      <c r="C20" s="11"/>
      <c r="D20" s="11"/>
      <c r="F20" s="11" t="s">
        <v>1956</v>
      </c>
      <c r="G20" s="22">
        <f>COUNTIF('Cleaned Data'!L:L,"High value")</f>
        <v>24</v>
      </c>
      <c r="J20"/>
      <c r="O20" s="6"/>
    </row>
    <row r="21" spans="1:15" ht="15.75" x14ac:dyDescent="0.3">
      <c r="C21" s="11"/>
      <c r="D21" s="16"/>
      <c r="F21" s="11"/>
      <c r="G21" s="16"/>
      <c r="J21"/>
      <c r="O21" s="6"/>
    </row>
    <row r="22" spans="1:15" ht="15.75" x14ac:dyDescent="0.3">
      <c r="C22" s="11"/>
      <c r="D22" s="16"/>
      <c r="F22" s="11"/>
      <c r="G22" s="16"/>
      <c r="J22"/>
      <c r="O22" s="6"/>
    </row>
    <row r="23" spans="1:15" ht="15.75" x14ac:dyDescent="0.3">
      <c r="A23" s="30" t="s">
        <v>1971</v>
      </c>
      <c r="B23" s="30"/>
      <c r="F23" s="11"/>
      <c r="G23" s="16"/>
      <c r="J23"/>
      <c r="O23" s="6"/>
    </row>
    <row r="24" spans="1:15" ht="15.75" x14ac:dyDescent="0.3">
      <c r="A24" s="18" t="s">
        <v>1936</v>
      </c>
      <c r="B24" s="11" t="s">
        <v>1937</v>
      </c>
      <c r="F24" s="29" t="s">
        <v>1958</v>
      </c>
      <c r="G24" s="29"/>
      <c r="J24"/>
      <c r="O24" s="6"/>
    </row>
    <row r="25" spans="1:15" ht="15.75" x14ac:dyDescent="0.3">
      <c r="A25" s="11" t="s">
        <v>1931</v>
      </c>
      <c r="B25" s="16">
        <f>SUMIF('Cleaned Data'!G:G,'Analysis Sheet'!$A25,'Cleaned Data'!I:I)</f>
        <v>489674.35103365988</v>
      </c>
      <c r="F25" s="11" t="s">
        <v>567</v>
      </c>
      <c r="G25" s="22" t="s">
        <v>1959</v>
      </c>
      <c r="J25"/>
      <c r="O25" s="6"/>
    </row>
    <row r="26" spans="1:15" ht="15.75" x14ac:dyDescent="0.3">
      <c r="A26" s="11" t="s">
        <v>1932</v>
      </c>
      <c r="B26" s="16">
        <f>SUMIF('Cleaned Data'!G:G,'Analysis Sheet'!$A26,'Cleaned Data'!I:I)</f>
        <v>390792.51983784628</v>
      </c>
      <c r="F26" s="11" t="s">
        <v>1918</v>
      </c>
      <c r="G26" s="22">
        <f>COUNTIF('Cleaned Data'!K:K,'Analysis Sheet'!$F26)</f>
        <v>60</v>
      </c>
      <c r="J26"/>
      <c r="O26" s="6"/>
    </row>
    <row r="27" spans="1:15" ht="15.75" x14ac:dyDescent="0.3">
      <c r="A27" s="11" t="s">
        <v>1933</v>
      </c>
      <c r="B27" s="16">
        <f>SUMIF('Cleaned Data'!G:G,'Analysis Sheet'!$A27,'Cleaned Data'!I:I)</f>
        <v>347664.08595592971</v>
      </c>
      <c r="F27" s="11" t="s">
        <v>1917</v>
      </c>
      <c r="G27" s="22">
        <f>COUNTIF('Cleaned Data'!K:K,'Analysis Sheet'!$F27)</f>
        <v>91</v>
      </c>
      <c r="J27"/>
      <c r="O27" s="6"/>
    </row>
    <row r="28" spans="1:15" ht="15.75" x14ac:dyDescent="0.3">
      <c r="A28" s="11" t="s">
        <v>1934</v>
      </c>
      <c r="B28" s="16">
        <f>SUMIF('Cleaned Data'!G:G,'Analysis Sheet'!$A28,'Cleaned Data'!I:I)</f>
        <v>334101.11102710955</v>
      </c>
      <c r="F28" s="11" t="s">
        <v>1916</v>
      </c>
      <c r="G28" s="22">
        <f>COUNTIF('Cleaned Data'!K:K,'Analysis Sheet'!$F28)</f>
        <v>68</v>
      </c>
      <c r="J28"/>
      <c r="O28" s="6"/>
    </row>
    <row r="29" spans="1:15" ht="15.75" x14ac:dyDescent="0.3">
      <c r="A29" s="11" t="s">
        <v>1935</v>
      </c>
      <c r="B29" s="16">
        <f>SUMIF('Cleaned Data'!G:G,'Analysis Sheet'!$A29,'Cleaned Data'!I:I)</f>
        <v>478467.13229413051</v>
      </c>
      <c r="F29" s="11" t="s">
        <v>1919</v>
      </c>
      <c r="G29" s="22">
        <f>COUNTIF('Cleaned Data'!K:K,'Analysis Sheet'!$F29)</f>
        <v>80</v>
      </c>
      <c r="J29"/>
      <c r="O29" s="6"/>
    </row>
    <row r="30" spans="1:15" ht="15.75" x14ac:dyDescent="0.3">
      <c r="A30" s="11" t="s">
        <v>1967</v>
      </c>
      <c r="B30" s="16">
        <f>SUMIF('Cleaned Data'!G:G,'Analysis Sheet'!$A30,'Cleaned Data'!I:I)</f>
        <v>524784.1690196686</v>
      </c>
      <c r="F30" s="23" t="s">
        <v>1922</v>
      </c>
      <c r="G30" s="24">
        <f>COUNTIF('Cleaned Data'!K:K,'Analysis Sheet'!$F30)</f>
        <v>182</v>
      </c>
      <c r="J30"/>
      <c r="O30" s="6"/>
    </row>
    <row r="31" spans="1:15" ht="15.75" x14ac:dyDescent="0.3">
      <c r="A31" s="11" t="s">
        <v>1930</v>
      </c>
      <c r="B31" s="16">
        <f>SUMIF('Cleaned Data'!G:G,'Analysis Sheet'!$A31,'Cleaned Data'!I:I)</f>
        <v>243456.89913142158</v>
      </c>
      <c r="J31"/>
      <c r="O31" s="6"/>
    </row>
    <row r="32" spans="1:15" ht="15.75" x14ac:dyDescent="0.3">
      <c r="J32"/>
      <c r="O32" s="6"/>
    </row>
    <row r="33" spans="10:15" ht="15.75" x14ac:dyDescent="0.3">
      <c r="J33"/>
      <c r="O33" s="6"/>
    </row>
    <row r="34" spans="10:15" ht="15.75" x14ac:dyDescent="0.3">
      <c r="J34"/>
      <c r="O34" s="6"/>
    </row>
    <row r="35" spans="10:15" ht="15.75" x14ac:dyDescent="0.3">
      <c r="J35"/>
      <c r="O35" s="6"/>
    </row>
    <row r="36" spans="10:15" ht="15.75" x14ac:dyDescent="0.3">
      <c r="J36"/>
      <c r="O36" s="6"/>
    </row>
    <row r="37" spans="10:15" ht="15.75" x14ac:dyDescent="0.3">
      <c r="J37"/>
      <c r="O37" s="6"/>
    </row>
    <row r="38" spans="10:15" ht="15.75" x14ac:dyDescent="0.3">
      <c r="J38" s="6"/>
      <c r="O38" s="6"/>
    </row>
    <row r="39" spans="10:15" ht="15.75" x14ac:dyDescent="0.3">
      <c r="J39" s="6"/>
      <c r="O39" s="6"/>
    </row>
    <row r="40" spans="10:15" ht="15.75" x14ac:dyDescent="0.3">
      <c r="J40" s="6"/>
      <c r="O40" s="6"/>
    </row>
    <row r="41" spans="10:15" ht="15.75" x14ac:dyDescent="0.3">
      <c r="J41" s="6"/>
      <c r="O41" s="6"/>
    </row>
    <row r="42" spans="10:15" ht="15.75" x14ac:dyDescent="0.3">
      <c r="J42" s="6"/>
      <c r="O42" s="6"/>
    </row>
    <row r="43" spans="10:15" ht="15.75" x14ac:dyDescent="0.3">
      <c r="J43" s="6"/>
      <c r="O43" s="6"/>
    </row>
    <row r="44" spans="10:15" ht="15.75" x14ac:dyDescent="0.3">
      <c r="J44" s="6"/>
      <c r="O44" s="6"/>
    </row>
    <row r="45" spans="10:15" ht="15.75" x14ac:dyDescent="0.3">
      <c r="J45" s="6"/>
      <c r="O45" s="6"/>
    </row>
    <row r="46" spans="10:15" ht="15.75" x14ac:dyDescent="0.3">
      <c r="J46" s="6"/>
      <c r="O46" s="6"/>
    </row>
    <row r="47" spans="10:15" ht="15.75" x14ac:dyDescent="0.3">
      <c r="J47" s="6"/>
      <c r="O47" s="6"/>
    </row>
    <row r="48" spans="10:15" ht="15.75" x14ac:dyDescent="0.3">
      <c r="J48" s="6"/>
      <c r="O48" s="6"/>
    </row>
    <row r="49" spans="10:15" ht="15.75" x14ac:dyDescent="0.3">
      <c r="J49" s="6"/>
      <c r="O49" s="6"/>
    </row>
    <row r="50" spans="10:15" ht="15.75" x14ac:dyDescent="0.3">
      <c r="J50" s="6"/>
      <c r="O50" s="6"/>
    </row>
    <row r="51" spans="10:15" ht="15.75" x14ac:dyDescent="0.3">
      <c r="J51" s="6"/>
      <c r="O51" s="6"/>
    </row>
    <row r="52" spans="10:15" ht="15.75" x14ac:dyDescent="0.3">
      <c r="J52" s="6"/>
      <c r="O52" s="6"/>
    </row>
    <row r="53" spans="10:15" ht="15.75" x14ac:dyDescent="0.3">
      <c r="J53" s="6"/>
      <c r="O53" s="6"/>
    </row>
    <row r="54" spans="10:15" ht="15.75" x14ac:dyDescent="0.3">
      <c r="J54" s="6"/>
      <c r="O54" s="6"/>
    </row>
    <row r="55" spans="10:15" ht="15.75" x14ac:dyDescent="0.3">
      <c r="J55" s="6"/>
      <c r="O55" s="6"/>
    </row>
    <row r="56" spans="10:15" ht="15.75" x14ac:dyDescent="0.3">
      <c r="J56" s="6"/>
      <c r="O56" s="6"/>
    </row>
    <row r="57" spans="10:15" ht="15.75" x14ac:dyDescent="0.3">
      <c r="J57" s="6"/>
      <c r="O57" s="6"/>
    </row>
    <row r="58" spans="10:15" ht="15.75" x14ac:dyDescent="0.3">
      <c r="J58" s="6"/>
      <c r="O58" s="6"/>
    </row>
    <row r="59" spans="10:15" ht="15.75" x14ac:dyDescent="0.3">
      <c r="J59" s="6"/>
      <c r="O59" s="6"/>
    </row>
    <row r="60" spans="10:15" ht="15.75" x14ac:dyDescent="0.3">
      <c r="J60" s="6"/>
      <c r="O60" s="6"/>
    </row>
    <row r="61" spans="10:15" ht="15.75" x14ac:dyDescent="0.3">
      <c r="J61" s="6"/>
      <c r="O61" s="6"/>
    </row>
    <row r="62" spans="10:15" ht="15.75" x14ac:dyDescent="0.3">
      <c r="J62" s="6"/>
      <c r="O62" s="6"/>
    </row>
    <row r="63" spans="10:15" ht="15.75" x14ac:dyDescent="0.3">
      <c r="J63" s="6"/>
      <c r="O63" s="6"/>
    </row>
    <row r="64" spans="10:15" ht="15.75" x14ac:dyDescent="0.3">
      <c r="J64" s="6"/>
      <c r="O64" s="6"/>
    </row>
    <row r="65" spans="10:15" ht="15.75" x14ac:dyDescent="0.3">
      <c r="J65" s="6"/>
      <c r="O65" s="6"/>
    </row>
    <row r="66" spans="10:15" ht="15.75" x14ac:dyDescent="0.3">
      <c r="J66" s="6"/>
      <c r="O66" s="6"/>
    </row>
    <row r="67" spans="10:15" ht="15.75" x14ac:dyDescent="0.3">
      <c r="J67" s="6"/>
      <c r="O67" s="6"/>
    </row>
    <row r="68" spans="10:15" ht="15.75" x14ac:dyDescent="0.3">
      <c r="J68" s="6"/>
      <c r="O68" s="6"/>
    </row>
    <row r="69" spans="10:15" ht="15.75" x14ac:dyDescent="0.3">
      <c r="J69" s="6"/>
      <c r="O69" s="6"/>
    </row>
    <row r="70" spans="10:15" ht="15.75" x14ac:dyDescent="0.3">
      <c r="J70" s="6"/>
      <c r="O70" s="6"/>
    </row>
    <row r="71" spans="10:15" ht="15.75" x14ac:dyDescent="0.3">
      <c r="J71" s="6"/>
      <c r="O71" s="6"/>
    </row>
    <row r="72" spans="10:15" ht="15.75" x14ac:dyDescent="0.3">
      <c r="J72" s="6"/>
      <c r="O72" s="6"/>
    </row>
    <row r="73" spans="10:15" ht="15.75" x14ac:dyDescent="0.3">
      <c r="J73" s="6"/>
      <c r="O73" s="6"/>
    </row>
    <row r="74" spans="10:15" ht="15.75" x14ac:dyDescent="0.3">
      <c r="J74" s="6"/>
      <c r="O74" s="6"/>
    </row>
    <row r="75" spans="10:15" ht="15.75" x14ac:dyDescent="0.3">
      <c r="J75" s="6"/>
      <c r="O75" s="6"/>
    </row>
    <row r="76" spans="10:15" ht="15.75" x14ac:dyDescent="0.3">
      <c r="J76" s="6"/>
      <c r="O76" s="6"/>
    </row>
    <row r="77" spans="10:15" ht="15.75" x14ac:dyDescent="0.3">
      <c r="J77" s="6"/>
      <c r="O77" s="6"/>
    </row>
    <row r="78" spans="10:15" ht="15.75" x14ac:dyDescent="0.3">
      <c r="J78" s="6"/>
      <c r="O78" s="6"/>
    </row>
    <row r="79" spans="10:15" ht="15.75" x14ac:dyDescent="0.3">
      <c r="J79" s="6"/>
      <c r="O79" s="6"/>
    </row>
    <row r="80" spans="10:15" ht="15.75" x14ac:dyDescent="0.3">
      <c r="J80" s="6"/>
      <c r="O80" s="6"/>
    </row>
    <row r="81" spans="10:15" ht="15.75" x14ac:dyDescent="0.3">
      <c r="J81" s="6"/>
      <c r="O81" s="6"/>
    </row>
    <row r="82" spans="10:15" ht="15.75" x14ac:dyDescent="0.3">
      <c r="J82" s="6"/>
      <c r="O82" s="6"/>
    </row>
    <row r="83" spans="10:15" ht="15.75" x14ac:dyDescent="0.3">
      <c r="J83" s="6"/>
      <c r="O83" s="6"/>
    </row>
    <row r="84" spans="10:15" ht="15.75" x14ac:dyDescent="0.3">
      <c r="J84" s="6"/>
      <c r="O84" s="6"/>
    </row>
    <row r="85" spans="10:15" ht="15.75" x14ac:dyDescent="0.3">
      <c r="J85" s="6"/>
      <c r="O85" s="6"/>
    </row>
    <row r="86" spans="10:15" ht="15.75" x14ac:dyDescent="0.3">
      <c r="J86" s="6"/>
      <c r="O86" s="6"/>
    </row>
    <row r="87" spans="10:15" ht="15.75" x14ac:dyDescent="0.3">
      <c r="J87" s="6"/>
      <c r="O87" s="6"/>
    </row>
    <row r="88" spans="10:15" ht="15.75" x14ac:dyDescent="0.3">
      <c r="J88" s="6"/>
      <c r="O88" s="6"/>
    </row>
    <row r="89" spans="10:15" ht="15.75" x14ac:dyDescent="0.3">
      <c r="J89" s="6"/>
      <c r="O89" s="6"/>
    </row>
    <row r="90" spans="10:15" ht="15.75" x14ac:dyDescent="0.3">
      <c r="J90" s="6"/>
      <c r="O90" s="6"/>
    </row>
    <row r="91" spans="10:15" ht="15.75" x14ac:dyDescent="0.3">
      <c r="J91" s="6"/>
      <c r="O91" s="6"/>
    </row>
    <row r="92" spans="10:15" ht="15.75" x14ac:dyDescent="0.3">
      <c r="J92" s="6"/>
      <c r="O92" s="6"/>
    </row>
    <row r="93" spans="10:15" ht="15.75" x14ac:dyDescent="0.3">
      <c r="J93" s="6"/>
      <c r="O93" s="6"/>
    </row>
    <row r="94" spans="10:15" ht="15.75" x14ac:dyDescent="0.3">
      <c r="J94" s="6"/>
      <c r="O94" s="6"/>
    </row>
    <row r="95" spans="10:15" ht="15.75" x14ac:dyDescent="0.3">
      <c r="J95" s="6"/>
      <c r="O95" s="6"/>
    </row>
    <row r="96" spans="10:15" ht="15.75" x14ac:dyDescent="0.3">
      <c r="J96" s="6"/>
      <c r="O96" s="6"/>
    </row>
    <row r="97" spans="10:15" ht="15.75" x14ac:dyDescent="0.3">
      <c r="J97" s="6"/>
      <c r="O97" s="6"/>
    </row>
    <row r="98" spans="10:15" ht="15.75" x14ac:dyDescent="0.3">
      <c r="J98" s="6"/>
      <c r="O98" s="6"/>
    </row>
    <row r="99" spans="10:15" ht="15.75" x14ac:dyDescent="0.3">
      <c r="J99" s="6"/>
      <c r="O99" s="6"/>
    </row>
    <row r="100" spans="10:15" ht="15.75" x14ac:dyDescent="0.3">
      <c r="J100" s="6"/>
      <c r="O100" s="6"/>
    </row>
    <row r="101" spans="10:15" ht="15.75" x14ac:dyDescent="0.3">
      <c r="J101" s="6"/>
      <c r="O101" s="6"/>
    </row>
    <row r="102" spans="10:15" ht="15.75" x14ac:dyDescent="0.3">
      <c r="J102" s="6"/>
      <c r="O102" s="6"/>
    </row>
    <row r="103" spans="10:15" ht="15.75" x14ac:dyDescent="0.3">
      <c r="J103" s="6"/>
      <c r="O103" s="6"/>
    </row>
    <row r="104" spans="10:15" ht="15.75" x14ac:dyDescent="0.3">
      <c r="J104" s="6"/>
      <c r="O104" s="6"/>
    </row>
    <row r="105" spans="10:15" ht="15.75" x14ac:dyDescent="0.3">
      <c r="J105" s="6"/>
      <c r="O105" s="6"/>
    </row>
    <row r="106" spans="10:15" ht="15.75" x14ac:dyDescent="0.3">
      <c r="J106" s="6"/>
      <c r="O106" s="6"/>
    </row>
    <row r="107" spans="10:15" ht="15.75" x14ac:dyDescent="0.3">
      <c r="J107" s="6"/>
      <c r="O107" s="6"/>
    </row>
    <row r="108" spans="10:15" ht="15.75" x14ac:dyDescent="0.3">
      <c r="J108" s="6"/>
      <c r="O108" s="6"/>
    </row>
    <row r="109" spans="10:15" ht="15.75" x14ac:dyDescent="0.3">
      <c r="J109" s="6"/>
      <c r="O109" s="6"/>
    </row>
    <row r="110" spans="10:15" ht="15.75" x14ac:dyDescent="0.3">
      <c r="J110" s="6"/>
      <c r="O110" s="6"/>
    </row>
    <row r="111" spans="10:15" ht="15.75" x14ac:dyDescent="0.3">
      <c r="J111" s="6"/>
      <c r="O111" s="6"/>
    </row>
    <row r="112" spans="10:15" ht="15.75" x14ac:dyDescent="0.3">
      <c r="J112" s="6"/>
      <c r="O112" s="6"/>
    </row>
    <row r="113" spans="10:15" ht="15.75" x14ac:dyDescent="0.3">
      <c r="J113" s="6"/>
      <c r="O113" s="6"/>
    </row>
    <row r="114" spans="10:15" ht="15.75" x14ac:dyDescent="0.3">
      <c r="J114" s="6"/>
      <c r="O114" s="6"/>
    </row>
    <row r="115" spans="10:15" ht="15.75" x14ac:dyDescent="0.3">
      <c r="J115" s="6"/>
      <c r="O115" s="6"/>
    </row>
    <row r="116" spans="10:15" ht="15.75" x14ac:dyDescent="0.3">
      <c r="J116" s="6"/>
      <c r="O116" s="6"/>
    </row>
    <row r="117" spans="10:15" ht="15.75" x14ac:dyDescent="0.3">
      <c r="J117" s="6"/>
      <c r="O117" s="6"/>
    </row>
    <row r="118" spans="10:15" ht="15.75" x14ac:dyDescent="0.3">
      <c r="J118" s="6"/>
      <c r="O118" s="6"/>
    </row>
    <row r="119" spans="10:15" ht="15.75" x14ac:dyDescent="0.3">
      <c r="J119" s="6"/>
      <c r="O119" s="6"/>
    </row>
    <row r="120" spans="10:15" ht="15.75" x14ac:dyDescent="0.3">
      <c r="J120" s="6"/>
      <c r="O120" s="6"/>
    </row>
    <row r="121" spans="10:15" ht="15.75" x14ac:dyDescent="0.3">
      <c r="J121" s="6"/>
      <c r="O121" s="6"/>
    </row>
    <row r="122" spans="10:15" ht="15.75" x14ac:dyDescent="0.3">
      <c r="J122" s="6"/>
      <c r="O122" s="6"/>
    </row>
    <row r="123" spans="10:15" ht="15.75" x14ac:dyDescent="0.3">
      <c r="J123" s="6"/>
      <c r="O123" s="6"/>
    </row>
    <row r="124" spans="10:15" ht="15.75" x14ac:dyDescent="0.3">
      <c r="J124" s="6"/>
      <c r="O124" s="6"/>
    </row>
    <row r="125" spans="10:15" ht="15.75" x14ac:dyDescent="0.3">
      <c r="J125" s="6"/>
      <c r="O125" s="6"/>
    </row>
    <row r="126" spans="10:15" ht="15.75" x14ac:dyDescent="0.3">
      <c r="J126" s="6"/>
      <c r="O126" s="6"/>
    </row>
    <row r="127" spans="10:15" ht="15.75" x14ac:dyDescent="0.3">
      <c r="J127" s="6"/>
      <c r="O127" s="6"/>
    </row>
    <row r="128" spans="10:15" ht="15.75" x14ac:dyDescent="0.3">
      <c r="J128" s="6"/>
      <c r="O128" s="6"/>
    </row>
    <row r="129" spans="10:15" ht="15.75" x14ac:dyDescent="0.3">
      <c r="J129" s="6"/>
      <c r="O129" s="6"/>
    </row>
    <row r="130" spans="10:15" ht="15.75" x14ac:dyDescent="0.3">
      <c r="J130" s="6"/>
      <c r="O130" s="6"/>
    </row>
    <row r="131" spans="10:15" ht="15.75" x14ac:dyDescent="0.3">
      <c r="J131" s="6"/>
      <c r="O131" s="6"/>
    </row>
    <row r="132" spans="10:15" ht="15.75" x14ac:dyDescent="0.3">
      <c r="J132" s="6"/>
      <c r="O132" s="6"/>
    </row>
    <row r="133" spans="10:15" ht="15.75" x14ac:dyDescent="0.3">
      <c r="J133" s="6"/>
      <c r="O133" s="6"/>
    </row>
    <row r="134" spans="10:15" ht="15.75" x14ac:dyDescent="0.3">
      <c r="J134" s="6"/>
      <c r="O134" s="6"/>
    </row>
    <row r="135" spans="10:15" ht="15.75" x14ac:dyDescent="0.3">
      <c r="J135" s="6"/>
      <c r="O135" s="6"/>
    </row>
    <row r="136" spans="10:15" ht="15.75" x14ac:dyDescent="0.3">
      <c r="J136" s="6"/>
      <c r="O136" s="6"/>
    </row>
    <row r="137" spans="10:15" ht="15.75" x14ac:dyDescent="0.3">
      <c r="J137" s="6"/>
      <c r="O137" s="6"/>
    </row>
    <row r="138" spans="10:15" ht="15.75" x14ac:dyDescent="0.3">
      <c r="J138" s="6"/>
      <c r="O138" s="6"/>
    </row>
    <row r="139" spans="10:15" ht="15.75" x14ac:dyDescent="0.3">
      <c r="J139" s="6"/>
      <c r="O139" s="6"/>
    </row>
    <row r="140" spans="10:15" ht="15.75" x14ac:dyDescent="0.3">
      <c r="J140" s="6"/>
      <c r="O140" s="6"/>
    </row>
    <row r="141" spans="10:15" ht="15.75" x14ac:dyDescent="0.3">
      <c r="J141" s="6"/>
      <c r="O141" s="6"/>
    </row>
    <row r="142" spans="10:15" ht="15.75" x14ac:dyDescent="0.3">
      <c r="J142" s="6"/>
      <c r="O142" s="6"/>
    </row>
    <row r="143" spans="10:15" ht="15.75" x14ac:dyDescent="0.3">
      <c r="J143" s="6"/>
      <c r="O143" s="6"/>
    </row>
    <row r="144" spans="10:15" ht="15.75" x14ac:dyDescent="0.3">
      <c r="J144" s="6"/>
      <c r="O144" s="6"/>
    </row>
    <row r="145" spans="10:15" ht="15.75" x14ac:dyDescent="0.3">
      <c r="J145" s="6"/>
      <c r="O145" s="6"/>
    </row>
    <row r="146" spans="10:15" ht="15.75" x14ac:dyDescent="0.3">
      <c r="J146" s="6"/>
      <c r="O146" s="6"/>
    </row>
    <row r="147" spans="10:15" ht="15.75" x14ac:dyDescent="0.3">
      <c r="J147" s="6"/>
      <c r="O147" s="6"/>
    </row>
    <row r="148" spans="10:15" ht="15.75" x14ac:dyDescent="0.3">
      <c r="J148" s="6"/>
      <c r="O148" s="6"/>
    </row>
    <row r="149" spans="10:15" ht="15.75" x14ac:dyDescent="0.3">
      <c r="J149" s="6"/>
      <c r="O149" s="6"/>
    </row>
    <row r="150" spans="10:15" ht="15.75" x14ac:dyDescent="0.3">
      <c r="J150" s="6"/>
      <c r="O150" s="6"/>
    </row>
    <row r="151" spans="10:15" ht="15.75" x14ac:dyDescent="0.3">
      <c r="J151" s="6"/>
      <c r="O151" s="6"/>
    </row>
    <row r="152" spans="10:15" ht="15.75" x14ac:dyDescent="0.3">
      <c r="J152" s="6"/>
      <c r="O152" s="6"/>
    </row>
    <row r="153" spans="10:15" ht="15.75" x14ac:dyDescent="0.3">
      <c r="J153" s="6"/>
      <c r="O153" s="6"/>
    </row>
    <row r="154" spans="10:15" ht="15.75" x14ac:dyDescent="0.3">
      <c r="J154" s="6"/>
      <c r="O154" s="6"/>
    </row>
    <row r="155" spans="10:15" ht="15.75" x14ac:dyDescent="0.3">
      <c r="J155" s="6"/>
      <c r="O155" s="6"/>
    </row>
    <row r="156" spans="10:15" ht="15.75" x14ac:dyDescent="0.3">
      <c r="J156" s="6"/>
      <c r="O156" s="6"/>
    </row>
    <row r="157" spans="10:15" ht="15.75" x14ac:dyDescent="0.3">
      <c r="J157" s="6"/>
      <c r="O157" s="6"/>
    </row>
    <row r="158" spans="10:15" ht="15.75" x14ac:dyDescent="0.3">
      <c r="J158" s="6"/>
      <c r="O158" s="6"/>
    </row>
    <row r="159" spans="10:15" ht="15.75" x14ac:dyDescent="0.3">
      <c r="J159" s="6"/>
      <c r="O159" s="6"/>
    </row>
    <row r="160" spans="10:15" ht="15.75" x14ac:dyDescent="0.3">
      <c r="J160" s="6"/>
      <c r="O160" s="6"/>
    </row>
    <row r="161" spans="10:15" ht="15.75" x14ac:dyDescent="0.3">
      <c r="J161" s="6"/>
      <c r="O161" s="6"/>
    </row>
    <row r="162" spans="10:15" ht="15.75" x14ac:dyDescent="0.3">
      <c r="J162" s="6"/>
      <c r="O162" s="6"/>
    </row>
    <row r="163" spans="10:15" ht="15.75" x14ac:dyDescent="0.3">
      <c r="J163" s="6"/>
      <c r="O163" s="6"/>
    </row>
    <row r="164" spans="10:15" ht="15.75" x14ac:dyDescent="0.3">
      <c r="J164" s="6"/>
      <c r="O164" s="6"/>
    </row>
    <row r="165" spans="10:15" ht="15.75" x14ac:dyDescent="0.3">
      <c r="J165" s="6"/>
      <c r="O165" s="6"/>
    </row>
    <row r="166" spans="10:15" ht="15.75" x14ac:dyDescent="0.3">
      <c r="J166" s="6"/>
      <c r="O166" s="6"/>
    </row>
    <row r="167" spans="10:15" ht="15.75" x14ac:dyDescent="0.3">
      <c r="J167" s="6"/>
      <c r="O167" s="6"/>
    </row>
    <row r="168" spans="10:15" ht="15.75" x14ac:dyDescent="0.3">
      <c r="J168" s="6"/>
      <c r="O168" s="6"/>
    </row>
    <row r="169" spans="10:15" ht="15.75" x14ac:dyDescent="0.3">
      <c r="J169" s="6"/>
      <c r="O169" s="6"/>
    </row>
    <row r="170" spans="10:15" ht="15.75" x14ac:dyDescent="0.3">
      <c r="J170" s="6"/>
      <c r="O170" s="6"/>
    </row>
    <row r="171" spans="10:15" ht="15.75" x14ac:dyDescent="0.3">
      <c r="J171" s="6"/>
      <c r="O171" s="6"/>
    </row>
    <row r="172" spans="10:15" ht="15.75" x14ac:dyDescent="0.3">
      <c r="J172" s="6"/>
      <c r="O172" s="6"/>
    </row>
    <row r="173" spans="10:15" ht="15.75" x14ac:dyDescent="0.3">
      <c r="J173" s="6"/>
      <c r="O173" s="6"/>
    </row>
    <row r="174" spans="10:15" ht="15.75" x14ac:dyDescent="0.3">
      <c r="J174" s="6"/>
      <c r="O174" s="6"/>
    </row>
    <row r="175" spans="10:15" ht="15.75" x14ac:dyDescent="0.3">
      <c r="J175" s="6"/>
      <c r="O175" s="6"/>
    </row>
    <row r="176" spans="10:15" ht="15.75" x14ac:dyDescent="0.3">
      <c r="J176" s="6"/>
      <c r="O176" s="6"/>
    </row>
    <row r="177" spans="10:15" ht="15.75" x14ac:dyDescent="0.3">
      <c r="J177" s="6"/>
      <c r="O177" s="6"/>
    </row>
    <row r="178" spans="10:15" ht="15.75" x14ac:dyDescent="0.3">
      <c r="J178" s="6"/>
      <c r="O178" s="6"/>
    </row>
    <row r="179" spans="10:15" ht="15.75" x14ac:dyDescent="0.3">
      <c r="J179" s="6"/>
      <c r="O179" s="6"/>
    </row>
    <row r="180" spans="10:15" ht="15.75" x14ac:dyDescent="0.3">
      <c r="J180" s="6"/>
      <c r="O180" s="6"/>
    </row>
    <row r="181" spans="10:15" ht="15.75" x14ac:dyDescent="0.3">
      <c r="J181" s="6"/>
      <c r="O181" s="6"/>
    </row>
    <row r="182" spans="10:15" ht="15.75" x14ac:dyDescent="0.3">
      <c r="J182" s="6"/>
      <c r="O182" s="6"/>
    </row>
    <row r="183" spans="10:15" ht="15.75" x14ac:dyDescent="0.3">
      <c r="J183" s="6"/>
      <c r="O183" s="6"/>
    </row>
    <row r="184" spans="10:15" ht="15.75" x14ac:dyDescent="0.3">
      <c r="J184" s="6"/>
      <c r="O184" s="6"/>
    </row>
    <row r="185" spans="10:15" ht="15.75" x14ac:dyDescent="0.3">
      <c r="J185" s="6"/>
      <c r="O185" s="6"/>
    </row>
    <row r="186" spans="10:15" ht="15.75" x14ac:dyDescent="0.3">
      <c r="J186" s="6"/>
      <c r="O186" s="6"/>
    </row>
    <row r="187" spans="10:15" ht="15.75" x14ac:dyDescent="0.3">
      <c r="J187" s="6"/>
      <c r="O187" s="6"/>
    </row>
    <row r="188" spans="10:15" ht="15.75" x14ac:dyDescent="0.3">
      <c r="J188" s="6"/>
      <c r="O188" s="6"/>
    </row>
    <row r="189" spans="10:15" ht="15.75" x14ac:dyDescent="0.3">
      <c r="J189" s="6"/>
      <c r="O189" s="6"/>
    </row>
    <row r="190" spans="10:15" ht="15.75" x14ac:dyDescent="0.3">
      <c r="J190" s="6"/>
      <c r="O190" s="6"/>
    </row>
    <row r="191" spans="10:15" ht="15.75" x14ac:dyDescent="0.3">
      <c r="J191" s="6"/>
      <c r="O191" s="6"/>
    </row>
    <row r="192" spans="10:15" ht="15.75" x14ac:dyDescent="0.3">
      <c r="J192" s="6"/>
      <c r="O192" s="6"/>
    </row>
    <row r="193" spans="10:15" ht="15.75" x14ac:dyDescent="0.3">
      <c r="J193" s="6"/>
      <c r="O193" s="6"/>
    </row>
    <row r="194" spans="10:15" ht="15.75" x14ac:dyDescent="0.3">
      <c r="J194" s="6"/>
      <c r="O194" s="6"/>
    </row>
    <row r="195" spans="10:15" ht="15.75" x14ac:dyDescent="0.3">
      <c r="J195" s="6"/>
      <c r="O195" s="6"/>
    </row>
    <row r="196" spans="10:15" ht="15.75" x14ac:dyDescent="0.3">
      <c r="J196" s="6"/>
      <c r="O196" s="6"/>
    </row>
    <row r="197" spans="10:15" ht="15.75" x14ac:dyDescent="0.3">
      <c r="J197" s="6"/>
      <c r="O197" s="6"/>
    </row>
    <row r="198" spans="10:15" ht="15.75" x14ac:dyDescent="0.3">
      <c r="J198" s="6"/>
      <c r="O198" s="6"/>
    </row>
    <row r="199" spans="10:15" ht="15.75" x14ac:dyDescent="0.3">
      <c r="J199" s="6"/>
      <c r="O199" s="6"/>
    </row>
    <row r="200" spans="10:15" ht="15.75" x14ac:dyDescent="0.3">
      <c r="J200" s="6"/>
      <c r="O200" s="6"/>
    </row>
    <row r="201" spans="10:15" ht="15.75" x14ac:dyDescent="0.3">
      <c r="J201" s="6"/>
      <c r="O201" s="6"/>
    </row>
    <row r="202" spans="10:15" ht="15.75" x14ac:dyDescent="0.3">
      <c r="J202" s="6"/>
      <c r="O202" s="6"/>
    </row>
    <row r="203" spans="10:15" ht="15.75" x14ac:dyDescent="0.3">
      <c r="J203" s="6"/>
      <c r="O203" s="6"/>
    </row>
    <row r="204" spans="10:15" ht="15.75" x14ac:dyDescent="0.3">
      <c r="J204" s="6"/>
      <c r="O204" s="6"/>
    </row>
    <row r="205" spans="10:15" ht="15.75" x14ac:dyDescent="0.3">
      <c r="J205" s="6"/>
      <c r="O205" s="6"/>
    </row>
    <row r="206" spans="10:15" ht="15.75" x14ac:dyDescent="0.3">
      <c r="J206" s="6"/>
      <c r="O206" s="6"/>
    </row>
    <row r="207" spans="10:15" ht="15.75" x14ac:dyDescent="0.3">
      <c r="J207" s="6"/>
      <c r="O207" s="6"/>
    </row>
    <row r="208" spans="10:15" ht="15.75" x14ac:dyDescent="0.3">
      <c r="J208" s="6"/>
      <c r="O208" s="6"/>
    </row>
    <row r="209" spans="10:15" ht="15.75" x14ac:dyDescent="0.3">
      <c r="J209" s="6"/>
      <c r="O209" s="6"/>
    </row>
    <row r="210" spans="10:15" ht="15.75" x14ac:dyDescent="0.3">
      <c r="J210" s="6"/>
      <c r="O210" s="6"/>
    </row>
    <row r="211" spans="10:15" ht="15.75" x14ac:dyDescent="0.3">
      <c r="J211" s="6"/>
      <c r="O211" s="6"/>
    </row>
    <row r="212" spans="10:15" ht="15.75" x14ac:dyDescent="0.3">
      <c r="J212" s="6"/>
      <c r="O212" s="6"/>
    </row>
    <row r="213" spans="10:15" ht="15.75" x14ac:dyDescent="0.3">
      <c r="J213" s="6"/>
      <c r="O213" s="6"/>
    </row>
    <row r="214" spans="10:15" ht="15.75" x14ac:dyDescent="0.3">
      <c r="J214" s="6"/>
      <c r="O214" s="6"/>
    </row>
    <row r="215" spans="10:15" ht="15.75" x14ac:dyDescent="0.3">
      <c r="J215" s="6"/>
      <c r="O215" s="6"/>
    </row>
    <row r="216" spans="10:15" ht="15.75" x14ac:dyDescent="0.3">
      <c r="J216" s="6"/>
      <c r="O216" s="6"/>
    </row>
    <row r="217" spans="10:15" ht="15.75" x14ac:dyDescent="0.3">
      <c r="J217" s="6"/>
      <c r="O217" s="6"/>
    </row>
    <row r="218" spans="10:15" ht="15.75" x14ac:dyDescent="0.3">
      <c r="J218" s="6"/>
      <c r="O218" s="6"/>
    </row>
    <row r="219" spans="10:15" ht="15.75" x14ac:dyDescent="0.3">
      <c r="J219" s="6"/>
      <c r="O219" s="6"/>
    </row>
    <row r="220" spans="10:15" ht="15.75" x14ac:dyDescent="0.3">
      <c r="J220" s="6"/>
      <c r="O220" s="6"/>
    </row>
    <row r="221" spans="10:15" ht="15.75" x14ac:dyDescent="0.3">
      <c r="J221" s="6"/>
      <c r="O221" s="6"/>
    </row>
    <row r="222" spans="10:15" ht="15.75" x14ac:dyDescent="0.3">
      <c r="J222" s="6"/>
      <c r="O222" s="6"/>
    </row>
    <row r="223" spans="10:15" ht="15.75" x14ac:dyDescent="0.3">
      <c r="J223" s="6"/>
      <c r="O223" s="6"/>
    </row>
    <row r="224" spans="10:15" ht="15.75" x14ac:dyDescent="0.3">
      <c r="J224" s="6"/>
      <c r="O224" s="6"/>
    </row>
    <row r="225" spans="10:15" ht="15.75" x14ac:dyDescent="0.3">
      <c r="J225" s="6"/>
      <c r="O225" s="6"/>
    </row>
    <row r="226" spans="10:15" ht="15.75" x14ac:dyDescent="0.3">
      <c r="J226" s="6"/>
      <c r="O226" s="6"/>
    </row>
    <row r="227" spans="10:15" ht="15.75" x14ac:dyDescent="0.3">
      <c r="J227" s="6"/>
      <c r="O227" s="6"/>
    </row>
    <row r="228" spans="10:15" ht="15.75" x14ac:dyDescent="0.3">
      <c r="J228" s="6"/>
      <c r="O228" s="6"/>
    </row>
    <row r="229" spans="10:15" ht="15.75" x14ac:dyDescent="0.3">
      <c r="J229" s="6"/>
      <c r="O229" s="6"/>
    </row>
    <row r="230" spans="10:15" ht="15.75" x14ac:dyDescent="0.3">
      <c r="J230" s="6"/>
      <c r="O230" s="6"/>
    </row>
    <row r="231" spans="10:15" ht="15.75" x14ac:dyDescent="0.3">
      <c r="J231" s="6"/>
      <c r="O231" s="6"/>
    </row>
    <row r="232" spans="10:15" ht="15.75" x14ac:dyDescent="0.3">
      <c r="J232" s="6"/>
      <c r="O232" s="6"/>
    </row>
    <row r="233" spans="10:15" ht="15.75" x14ac:dyDescent="0.3">
      <c r="J233" s="6"/>
      <c r="O233" s="6"/>
    </row>
    <row r="234" spans="10:15" ht="15.75" x14ac:dyDescent="0.3">
      <c r="J234" s="6"/>
      <c r="O234" s="6"/>
    </row>
    <row r="235" spans="10:15" ht="15.75" x14ac:dyDescent="0.3">
      <c r="J235" s="6"/>
      <c r="O235" s="6"/>
    </row>
    <row r="236" spans="10:15" ht="15.75" x14ac:dyDescent="0.3">
      <c r="J236" s="6"/>
      <c r="O236" s="6"/>
    </row>
    <row r="237" spans="10:15" ht="15.75" x14ac:dyDescent="0.3">
      <c r="J237" s="6"/>
      <c r="O237" s="6"/>
    </row>
    <row r="238" spans="10:15" ht="15.75" x14ac:dyDescent="0.3">
      <c r="J238" s="6"/>
      <c r="O238" s="6"/>
    </row>
    <row r="239" spans="10:15" ht="15.75" x14ac:dyDescent="0.3">
      <c r="J239" s="6"/>
      <c r="O239" s="6"/>
    </row>
    <row r="240" spans="10:15" ht="15.75" x14ac:dyDescent="0.3">
      <c r="J240" s="6"/>
      <c r="O240" s="6"/>
    </row>
    <row r="241" spans="10:15" ht="15.75" x14ac:dyDescent="0.3">
      <c r="J241" s="6"/>
      <c r="O241" s="6"/>
    </row>
    <row r="242" spans="10:15" ht="15.75" x14ac:dyDescent="0.3">
      <c r="J242" s="6"/>
      <c r="O242" s="6"/>
    </row>
    <row r="243" spans="10:15" ht="15.75" x14ac:dyDescent="0.3">
      <c r="J243" s="6"/>
      <c r="O243" s="6"/>
    </row>
    <row r="244" spans="10:15" ht="15.75" x14ac:dyDescent="0.3">
      <c r="J244" s="6"/>
      <c r="O244" s="6"/>
    </row>
    <row r="245" spans="10:15" ht="15.75" x14ac:dyDescent="0.3">
      <c r="J245" s="6"/>
      <c r="O245" s="6"/>
    </row>
    <row r="246" spans="10:15" ht="15.75" x14ac:dyDescent="0.3">
      <c r="J246" s="6"/>
      <c r="O246" s="6"/>
    </row>
    <row r="247" spans="10:15" ht="15.75" x14ac:dyDescent="0.3">
      <c r="J247" s="6"/>
      <c r="O247" s="6"/>
    </row>
    <row r="248" spans="10:15" ht="15.75" x14ac:dyDescent="0.3">
      <c r="J248" s="6"/>
      <c r="O248" s="6"/>
    </row>
    <row r="249" spans="10:15" ht="15.75" x14ac:dyDescent="0.3">
      <c r="J249" s="6"/>
      <c r="O249" s="6"/>
    </row>
    <row r="250" spans="10:15" ht="15.75" x14ac:dyDescent="0.3">
      <c r="J250" s="6"/>
      <c r="O250" s="6"/>
    </row>
    <row r="251" spans="10:15" ht="15.75" x14ac:dyDescent="0.3">
      <c r="J251" s="6"/>
      <c r="O251" s="6"/>
    </row>
    <row r="252" spans="10:15" ht="15.75" x14ac:dyDescent="0.3">
      <c r="J252" s="6"/>
      <c r="O252" s="6"/>
    </row>
    <row r="253" spans="10:15" ht="15.75" x14ac:dyDescent="0.3">
      <c r="J253" s="6"/>
      <c r="O253" s="6"/>
    </row>
    <row r="254" spans="10:15" ht="15.75" x14ac:dyDescent="0.3">
      <c r="J254" s="6"/>
      <c r="O254" s="6"/>
    </row>
    <row r="255" spans="10:15" ht="15.75" x14ac:dyDescent="0.3">
      <c r="J255" s="6"/>
      <c r="O255" s="6"/>
    </row>
    <row r="256" spans="10:15" ht="15.75" x14ac:dyDescent="0.3">
      <c r="J256" s="6"/>
      <c r="O256" s="6"/>
    </row>
    <row r="257" spans="10:15" ht="15.75" x14ac:dyDescent="0.3">
      <c r="J257" s="6"/>
      <c r="O257" s="6"/>
    </row>
    <row r="258" spans="10:15" ht="15.75" x14ac:dyDescent="0.3">
      <c r="J258" s="6"/>
      <c r="O258" s="6"/>
    </row>
    <row r="259" spans="10:15" ht="15.75" x14ac:dyDescent="0.3">
      <c r="J259" s="6"/>
      <c r="O259" s="6"/>
    </row>
    <row r="260" spans="10:15" ht="15.75" x14ac:dyDescent="0.3">
      <c r="J260" s="6"/>
      <c r="O260" s="6"/>
    </row>
    <row r="261" spans="10:15" ht="15.75" x14ac:dyDescent="0.3">
      <c r="J261" s="6"/>
      <c r="O261" s="6"/>
    </row>
    <row r="262" spans="10:15" ht="15.75" x14ac:dyDescent="0.3">
      <c r="J262" s="6"/>
      <c r="O262" s="6"/>
    </row>
    <row r="263" spans="10:15" ht="15.75" x14ac:dyDescent="0.3">
      <c r="J263" s="6"/>
      <c r="O263" s="6"/>
    </row>
    <row r="264" spans="10:15" ht="15.75" x14ac:dyDescent="0.3">
      <c r="J264" s="6"/>
      <c r="O264" s="6"/>
    </row>
    <row r="265" spans="10:15" ht="15.75" x14ac:dyDescent="0.3">
      <c r="J265" s="6"/>
      <c r="O265" s="6"/>
    </row>
    <row r="266" spans="10:15" ht="15.75" x14ac:dyDescent="0.3">
      <c r="J266" s="6"/>
      <c r="O266" s="6"/>
    </row>
    <row r="267" spans="10:15" ht="15.75" x14ac:dyDescent="0.3">
      <c r="J267" s="6"/>
      <c r="O267" s="6"/>
    </row>
    <row r="268" spans="10:15" ht="15.75" x14ac:dyDescent="0.3">
      <c r="J268" s="6"/>
      <c r="O268" s="6"/>
    </row>
    <row r="269" spans="10:15" ht="15.75" x14ac:dyDescent="0.3">
      <c r="J269" s="6"/>
      <c r="O269" s="6"/>
    </row>
    <row r="270" spans="10:15" ht="15.75" x14ac:dyDescent="0.3">
      <c r="J270" s="6"/>
      <c r="O270" s="6"/>
    </row>
    <row r="271" spans="10:15" ht="15.75" x14ac:dyDescent="0.3">
      <c r="J271" s="6"/>
      <c r="O271" s="6"/>
    </row>
    <row r="272" spans="10:15" ht="15.75" x14ac:dyDescent="0.3">
      <c r="J272" s="6"/>
      <c r="O272" s="6"/>
    </row>
    <row r="273" spans="10:15" ht="15.75" x14ac:dyDescent="0.3">
      <c r="J273" s="6"/>
      <c r="O273" s="6"/>
    </row>
    <row r="274" spans="10:15" ht="15.75" x14ac:dyDescent="0.3">
      <c r="J274" s="6"/>
      <c r="O274" s="6"/>
    </row>
    <row r="275" spans="10:15" ht="15.75" x14ac:dyDescent="0.3">
      <c r="J275" s="6"/>
      <c r="O275" s="6"/>
    </row>
    <row r="276" spans="10:15" ht="15.75" x14ac:dyDescent="0.3">
      <c r="J276" s="6"/>
      <c r="O276" s="6"/>
    </row>
    <row r="277" spans="10:15" ht="15.75" x14ac:dyDescent="0.3">
      <c r="J277" s="6"/>
      <c r="O277" s="6"/>
    </row>
    <row r="278" spans="10:15" ht="15.75" x14ac:dyDescent="0.3">
      <c r="J278" s="6"/>
      <c r="O278" s="6"/>
    </row>
    <row r="279" spans="10:15" ht="15.75" x14ac:dyDescent="0.3">
      <c r="J279" s="6"/>
      <c r="O279" s="6"/>
    </row>
    <row r="280" spans="10:15" ht="15.75" x14ac:dyDescent="0.3">
      <c r="J280" s="6"/>
      <c r="O280" s="6"/>
    </row>
    <row r="281" spans="10:15" ht="15.75" x14ac:dyDescent="0.3">
      <c r="J281" s="6"/>
      <c r="O281" s="6"/>
    </row>
    <row r="282" spans="10:15" ht="15.75" x14ac:dyDescent="0.3">
      <c r="J282" s="6"/>
      <c r="O282" s="6"/>
    </row>
    <row r="283" spans="10:15" ht="15.75" x14ac:dyDescent="0.3">
      <c r="J283" s="6"/>
      <c r="O283" s="6"/>
    </row>
    <row r="284" spans="10:15" ht="15.75" x14ac:dyDescent="0.3">
      <c r="J284" s="6"/>
      <c r="O284" s="6"/>
    </row>
    <row r="285" spans="10:15" ht="15.75" x14ac:dyDescent="0.3">
      <c r="J285" s="6"/>
      <c r="O285" s="6"/>
    </row>
    <row r="286" spans="10:15" ht="15.75" x14ac:dyDescent="0.3">
      <c r="J286" s="6"/>
      <c r="O286" s="6"/>
    </row>
    <row r="287" spans="10:15" ht="15.75" x14ac:dyDescent="0.3">
      <c r="J287" s="6"/>
      <c r="O287" s="6"/>
    </row>
    <row r="288" spans="10:15" ht="15.75" x14ac:dyDescent="0.3">
      <c r="J288" s="6"/>
      <c r="O288" s="6"/>
    </row>
    <row r="289" spans="10:15" ht="15.75" x14ac:dyDescent="0.3">
      <c r="J289" s="6"/>
      <c r="O289" s="6"/>
    </row>
    <row r="290" spans="10:15" ht="15.75" x14ac:dyDescent="0.3">
      <c r="J290" s="6"/>
      <c r="O290" s="6"/>
    </row>
    <row r="291" spans="10:15" ht="15.75" x14ac:dyDescent="0.3">
      <c r="J291" s="6"/>
      <c r="O291" s="6"/>
    </row>
    <row r="292" spans="10:15" ht="15.75" x14ac:dyDescent="0.3">
      <c r="J292" s="6"/>
      <c r="O292" s="6"/>
    </row>
    <row r="293" spans="10:15" ht="15.75" x14ac:dyDescent="0.3">
      <c r="J293" s="6"/>
      <c r="O293" s="6"/>
    </row>
    <row r="294" spans="10:15" ht="15.75" x14ac:dyDescent="0.3">
      <c r="J294" s="6"/>
      <c r="O294" s="6"/>
    </row>
    <row r="295" spans="10:15" ht="15.75" x14ac:dyDescent="0.3">
      <c r="J295" s="6"/>
      <c r="O295" s="6"/>
    </row>
    <row r="296" spans="10:15" ht="15.75" x14ac:dyDescent="0.3">
      <c r="J296" s="6"/>
      <c r="O296" s="6"/>
    </row>
    <row r="297" spans="10:15" ht="15.75" x14ac:dyDescent="0.3">
      <c r="J297" s="6"/>
      <c r="O297" s="6"/>
    </row>
    <row r="298" spans="10:15" ht="15.75" x14ac:dyDescent="0.3">
      <c r="J298" s="6"/>
      <c r="O298" s="6"/>
    </row>
    <row r="299" spans="10:15" ht="15.75" x14ac:dyDescent="0.3">
      <c r="J299" s="6"/>
      <c r="O299" s="6"/>
    </row>
    <row r="300" spans="10:15" ht="15.75" x14ac:dyDescent="0.3">
      <c r="J300" s="6"/>
      <c r="O300" s="6"/>
    </row>
    <row r="301" spans="10:15" ht="15.75" x14ac:dyDescent="0.3">
      <c r="J301" s="6"/>
      <c r="O301" s="6"/>
    </row>
    <row r="302" spans="10:15" ht="15.75" x14ac:dyDescent="0.3">
      <c r="J302" s="6"/>
      <c r="O302" s="6"/>
    </row>
    <row r="303" spans="10:15" ht="15.75" x14ac:dyDescent="0.3">
      <c r="J303" s="6"/>
      <c r="O303" s="6"/>
    </row>
    <row r="304" spans="10:15" ht="15.75" x14ac:dyDescent="0.3">
      <c r="J304" s="6"/>
      <c r="O304" s="6"/>
    </row>
    <row r="305" spans="10:15" ht="15.75" x14ac:dyDescent="0.3">
      <c r="J305" s="6"/>
      <c r="O305" s="6"/>
    </row>
    <row r="306" spans="10:15" ht="15.75" x14ac:dyDescent="0.3">
      <c r="J306" s="6"/>
      <c r="O306" s="6"/>
    </row>
    <row r="307" spans="10:15" ht="15.75" x14ac:dyDescent="0.3">
      <c r="J307" s="6"/>
      <c r="O307" s="6"/>
    </row>
    <row r="308" spans="10:15" ht="15.75" x14ac:dyDescent="0.3">
      <c r="J308" s="6"/>
      <c r="O308" s="6"/>
    </row>
    <row r="309" spans="10:15" ht="15.75" x14ac:dyDescent="0.3">
      <c r="J309" s="6"/>
      <c r="O309" s="6"/>
    </row>
    <row r="310" spans="10:15" ht="15.75" x14ac:dyDescent="0.3">
      <c r="J310" s="6"/>
      <c r="O310" s="6"/>
    </row>
    <row r="311" spans="10:15" ht="15.75" x14ac:dyDescent="0.3">
      <c r="J311" s="6"/>
      <c r="O311" s="6"/>
    </row>
    <row r="312" spans="10:15" ht="15.75" x14ac:dyDescent="0.3">
      <c r="J312" s="6"/>
      <c r="O312" s="6"/>
    </row>
    <row r="313" spans="10:15" ht="15.75" x14ac:dyDescent="0.3">
      <c r="J313" s="6"/>
      <c r="O313" s="6"/>
    </row>
    <row r="314" spans="10:15" ht="15.75" x14ac:dyDescent="0.3">
      <c r="J314" s="6"/>
      <c r="O314" s="6"/>
    </row>
    <row r="315" spans="10:15" ht="15.75" x14ac:dyDescent="0.3">
      <c r="J315" s="6"/>
      <c r="O315" s="6"/>
    </row>
    <row r="316" spans="10:15" ht="15.75" x14ac:dyDescent="0.3">
      <c r="J316" s="6"/>
      <c r="O316" s="6"/>
    </row>
    <row r="317" spans="10:15" ht="15.75" x14ac:dyDescent="0.3">
      <c r="J317" s="6"/>
      <c r="O317" s="6"/>
    </row>
    <row r="318" spans="10:15" ht="15.75" x14ac:dyDescent="0.3">
      <c r="J318" s="6"/>
      <c r="O318" s="6"/>
    </row>
    <row r="319" spans="10:15" ht="15.75" x14ac:dyDescent="0.3">
      <c r="J319" s="6"/>
      <c r="O319" s="6"/>
    </row>
    <row r="320" spans="10:15" ht="15.75" x14ac:dyDescent="0.3">
      <c r="J320" s="6"/>
      <c r="O320" s="6"/>
    </row>
    <row r="321" spans="10:15" ht="15.75" x14ac:dyDescent="0.3">
      <c r="J321" s="6"/>
      <c r="O321" s="6"/>
    </row>
    <row r="322" spans="10:15" ht="15.75" x14ac:dyDescent="0.3">
      <c r="J322" s="6"/>
      <c r="O322" s="6"/>
    </row>
    <row r="323" spans="10:15" ht="15.75" x14ac:dyDescent="0.3">
      <c r="J323" s="6"/>
      <c r="O323" s="6"/>
    </row>
    <row r="324" spans="10:15" ht="15.75" x14ac:dyDescent="0.3">
      <c r="J324" s="6"/>
      <c r="O324" s="6"/>
    </row>
    <row r="325" spans="10:15" ht="15.75" x14ac:dyDescent="0.3">
      <c r="J325" s="6"/>
      <c r="O325" s="6"/>
    </row>
    <row r="326" spans="10:15" ht="15.75" x14ac:dyDescent="0.3">
      <c r="J326" s="6"/>
      <c r="O326" s="6"/>
    </row>
    <row r="327" spans="10:15" ht="15.75" x14ac:dyDescent="0.3">
      <c r="J327" s="6"/>
      <c r="O327" s="6"/>
    </row>
    <row r="328" spans="10:15" ht="15.75" x14ac:dyDescent="0.3">
      <c r="J328" s="6"/>
      <c r="O328" s="6"/>
    </row>
    <row r="329" spans="10:15" ht="15.75" x14ac:dyDescent="0.3">
      <c r="J329" s="6"/>
      <c r="O329" s="6"/>
    </row>
    <row r="330" spans="10:15" ht="15.75" x14ac:dyDescent="0.3">
      <c r="J330" s="6"/>
      <c r="O330" s="6"/>
    </row>
    <row r="331" spans="10:15" ht="15.75" x14ac:dyDescent="0.3">
      <c r="J331" s="6"/>
      <c r="O331" s="6"/>
    </row>
    <row r="332" spans="10:15" ht="15.75" x14ac:dyDescent="0.3">
      <c r="J332" s="6"/>
      <c r="O332" s="6"/>
    </row>
    <row r="333" spans="10:15" ht="15.75" x14ac:dyDescent="0.3">
      <c r="J333" s="6"/>
      <c r="O333" s="6"/>
    </row>
    <row r="334" spans="10:15" ht="15.75" x14ac:dyDescent="0.3">
      <c r="J334" s="6"/>
      <c r="O334" s="6"/>
    </row>
    <row r="335" spans="10:15" ht="15.75" x14ac:dyDescent="0.3">
      <c r="J335" s="6"/>
      <c r="O335" s="6"/>
    </row>
    <row r="336" spans="10:15" ht="15.75" x14ac:dyDescent="0.3">
      <c r="J336" s="6"/>
      <c r="O336" s="6"/>
    </row>
    <row r="337" spans="10:15" ht="15.75" x14ac:dyDescent="0.3">
      <c r="J337" s="6"/>
      <c r="O337" s="6"/>
    </row>
    <row r="338" spans="10:15" ht="15.75" x14ac:dyDescent="0.3">
      <c r="J338" s="6"/>
      <c r="O338" s="6"/>
    </row>
    <row r="339" spans="10:15" ht="15.75" x14ac:dyDescent="0.3">
      <c r="J339" s="6"/>
      <c r="O339" s="6"/>
    </row>
    <row r="340" spans="10:15" ht="15.75" x14ac:dyDescent="0.3">
      <c r="J340" s="6"/>
      <c r="O340" s="6"/>
    </row>
    <row r="341" spans="10:15" ht="15.75" x14ac:dyDescent="0.3">
      <c r="J341" s="6"/>
      <c r="O341" s="6"/>
    </row>
    <row r="342" spans="10:15" ht="15.75" x14ac:dyDescent="0.3">
      <c r="J342" s="6"/>
      <c r="O342" s="6"/>
    </row>
    <row r="343" spans="10:15" ht="15.75" x14ac:dyDescent="0.3">
      <c r="J343" s="6"/>
      <c r="O343" s="6"/>
    </row>
    <row r="344" spans="10:15" ht="15.75" x14ac:dyDescent="0.3">
      <c r="J344" s="6"/>
      <c r="O344" s="6"/>
    </row>
    <row r="345" spans="10:15" ht="15.75" x14ac:dyDescent="0.3">
      <c r="J345" s="6"/>
      <c r="O345" s="6"/>
    </row>
    <row r="346" spans="10:15" ht="15.75" x14ac:dyDescent="0.3">
      <c r="J346" s="6"/>
      <c r="O346" s="6"/>
    </row>
    <row r="347" spans="10:15" ht="15.75" x14ac:dyDescent="0.3">
      <c r="J347" s="6"/>
      <c r="O347" s="6"/>
    </row>
    <row r="348" spans="10:15" ht="15.75" x14ac:dyDescent="0.3">
      <c r="J348" s="6"/>
      <c r="O348" s="6"/>
    </row>
    <row r="349" spans="10:15" ht="15.75" x14ac:dyDescent="0.3">
      <c r="J349" s="6"/>
      <c r="O349" s="6"/>
    </row>
    <row r="350" spans="10:15" ht="15.75" x14ac:dyDescent="0.3">
      <c r="J350" s="6"/>
      <c r="O350" s="6"/>
    </row>
    <row r="351" spans="10:15" ht="15.75" x14ac:dyDescent="0.3">
      <c r="J351" s="6"/>
      <c r="O351" s="6"/>
    </row>
    <row r="352" spans="10:15" ht="15.75" x14ac:dyDescent="0.3">
      <c r="J352" s="6"/>
      <c r="O352" s="6"/>
    </row>
    <row r="353" spans="10:15" ht="15.75" x14ac:dyDescent="0.3">
      <c r="J353" s="6"/>
      <c r="O353" s="6"/>
    </row>
    <row r="354" spans="10:15" ht="15.75" x14ac:dyDescent="0.3">
      <c r="J354" s="6"/>
      <c r="O354" s="6"/>
    </row>
    <row r="355" spans="10:15" ht="15.75" x14ac:dyDescent="0.3">
      <c r="J355" s="6"/>
      <c r="O355" s="6"/>
    </row>
    <row r="356" spans="10:15" ht="15.75" x14ac:dyDescent="0.3">
      <c r="J356" s="6"/>
      <c r="O356" s="6"/>
    </row>
    <row r="357" spans="10:15" ht="15.75" x14ac:dyDescent="0.3">
      <c r="J357" s="6"/>
      <c r="O357" s="6"/>
    </row>
    <row r="358" spans="10:15" ht="15.75" x14ac:dyDescent="0.3">
      <c r="J358" s="6"/>
      <c r="O358" s="6"/>
    </row>
    <row r="359" spans="10:15" ht="15.75" x14ac:dyDescent="0.3">
      <c r="J359" s="6"/>
      <c r="O359" s="6"/>
    </row>
    <row r="360" spans="10:15" ht="15.75" x14ac:dyDescent="0.3">
      <c r="J360" s="6"/>
      <c r="O360" s="6"/>
    </row>
    <row r="361" spans="10:15" ht="15.75" x14ac:dyDescent="0.3">
      <c r="J361" s="6"/>
      <c r="O361" s="6"/>
    </row>
    <row r="362" spans="10:15" ht="15.75" x14ac:dyDescent="0.3">
      <c r="J362" s="6"/>
      <c r="O362" s="6"/>
    </row>
    <row r="363" spans="10:15" ht="15.75" x14ac:dyDescent="0.3">
      <c r="J363" s="6"/>
      <c r="O363" s="6"/>
    </row>
    <row r="364" spans="10:15" ht="15.75" x14ac:dyDescent="0.3">
      <c r="J364" s="6"/>
      <c r="O364" s="6"/>
    </row>
    <row r="365" spans="10:15" ht="15.75" x14ac:dyDescent="0.3">
      <c r="J365" s="6"/>
      <c r="O365" s="6"/>
    </row>
    <row r="366" spans="10:15" ht="15.75" x14ac:dyDescent="0.3">
      <c r="J366" s="6"/>
      <c r="O366" s="6"/>
    </row>
    <row r="367" spans="10:15" ht="15.75" x14ac:dyDescent="0.3">
      <c r="J367" s="6"/>
      <c r="O367" s="6"/>
    </row>
    <row r="368" spans="10:15" ht="15.75" x14ac:dyDescent="0.3">
      <c r="J368" s="6"/>
      <c r="O368" s="6"/>
    </row>
    <row r="369" spans="10:15" ht="15.75" x14ac:dyDescent="0.3">
      <c r="J369" s="6"/>
      <c r="O369" s="6"/>
    </row>
    <row r="370" spans="10:15" ht="15.75" x14ac:dyDescent="0.3">
      <c r="J370" s="6"/>
      <c r="O370" s="6"/>
    </row>
    <row r="371" spans="10:15" ht="15.75" x14ac:dyDescent="0.3">
      <c r="J371" s="6"/>
      <c r="O371" s="6"/>
    </row>
    <row r="372" spans="10:15" ht="15.75" x14ac:dyDescent="0.3">
      <c r="J372" s="6"/>
      <c r="O372" s="6"/>
    </row>
    <row r="373" spans="10:15" ht="15.75" x14ac:dyDescent="0.3">
      <c r="J373" s="6"/>
      <c r="O373" s="6"/>
    </row>
    <row r="374" spans="10:15" ht="15.75" x14ac:dyDescent="0.3">
      <c r="J374" s="6"/>
      <c r="O374" s="6"/>
    </row>
    <row r="375" spans="10:15" ht="15.75" x14ac:dyDescent="0.3">
      <c r="J375" s="6"/>
      <c r="O375" s="6"/>
    </row>
    <row r="376" spans="10:15" ht="15.75" x14ac:dyDescent="0.3">
      <c r="J376" s="6"/>
      <c r="O376" s="6"/>
    </row>
    <row r="377" spans="10:15" ht="15.75" x14ac:dyDescent="0.3">
      <c r="J377" s="6"/>
      <c r="O377" s="6"/>
    </row>
    <row r="378" spans="10:15" ht="15.75" x14ac:dyDescent="0.3">
      <c r="J378" s="6"/>
      <c r="O378" s="6"/>
    </row>
    <row r="379" spans="10:15" ht="15.75" x14ac:dyDescent="0.3">
      <c r="J379" s="6"/>
      <c r="O379" s="6"/>
    </row>
    <row r="380" spans="10:15" ht="15.75" x14ac:dyDescent="0.3">
      <c r="J380" s="6"/>
      <c r="O380" s="6"/>
    </row>
    <row r="381" spans="10:15" ht="15.75" x14ac:dyDescent="0.3">
      <c r="J381" s="6"/>
      <c r="O381" s="6"/>
    </row>
    <row r="382" spans="10:15" ht="15.75" x14ac:dyDescent="0.3">
      <c r="J382" s="6"/>
      <c r="O382" s="6"/>
    </row>
    <row r="383" spans="10:15" ht="15.75" x14ac:dyDescent="0.3">
      <c r="J383" s="6"/>
      <c r="O383" s="6"/>
    </row>
    <row r="384" spans="10:15" ht="15.75" x14ac:dyDescent="0.3">
      <c r="J384" s="6"/>
      <c r="O384" s="6"/>
    </row>
    <row r="385" spans="10:15" ht="15.75" x14ac:dyDescent="0.3">
      <c r="J385" s="6"/>
      <c r="O385" s="6"/>
    </row>
    <row r="386" spans="10:15" ht="15.75" x14ac:dyDescent="0.3">
      <c r="J386" s="6"/>
      <c r="O386" s="6"/>
    </row>
    <row r="387" spans="10:15" ht="15.75" x14ac:dyDescent="0.3">
      <c r="J387" s="6"/>
      <c r="O387" s="6"/>
    </row>
    <row r="388" spans="10:15" ht="15.75" x14ac:dyDescent="0.3">
      <c r="J388" s="6"/>
      <c r="O388" s="6"/>
    </row>
    <row r="389" spans="10:15" ht="15.75" x14ac:dyDescent="0.3">
      <c r="J389" s="6"/>
      <c r="O389" s="6"/>
    </row>
    <row r="390" spans="10:15" ht="15.75" x14ac:dyDescent="0.3">
      <c r="J390" s="6"/>
      <c r="O390" s="6"/>
    </row>
    <row r="391" spans="10:15" ht="15.75" x14ac:dyDescent="0.3">
      <c r="J391" s="6"/>
      <c r="O391" s="6"/>
    </row>
    <row r="392" spans="10:15" ht="15.75" x14ac:dyDescent="0.3">
      <c r="J392" s="6"/>
      <c r="O392" s="6"/>
    </row>
    <row r="393" spans="10:15" ht="15.75" x14ac:dyDescent="0.3">
      <c r="J393" s="6"/>
      <c r="O393" s="6"/>
    </row>
    <row r="394" spans="10:15" ht="15.75" x14ac:dyDescent="0.3">
      <c r="J394" s="6"/>
      <c r="O394" s="6"/>
    </row>
    <row r="395" spans="10:15" ht="15.75" x14ac:dyDescent="0.3">
      <c r="J395" s="6"/>
      <c r="O395" s="6"/>
    </row>
    <row r="396" spans="10:15" ht="15.75" x14ac:dyDescent="0.3">
      <c r="J396" s="6"/>
      <c r="O396" s="6"/>
    </row>
    <row r="397" spans="10:15" ht="15.75" x14ac:dyDescent="0.3">
      <c r="J397" s="6"/>
      <c r="O397" s="6"/>
    </row>
    <row r="398" spans="10:15" ht="15.75" x14ac:dyDescent="0.3">
      <c r="J398" s="6"/>
      <c r="O398" s="6"/>
    </row>
    <row r="399" spans="10:15" ht="15.75" x14ac:dyDescent="0.3">
      <c r="J399" s="6"/>
      <c r="O399" s="6"/>
    </row>
    <row r="400" spans="10:15" ht="15.75" x14ac:dyDescent="0.3">
      <c r="J400" s="6"/>
      <c r="O400" s="6"/>
    </row>
    <row r="401" spans="10:15" ht="15.75" x14ac:dyDescent="0.3">
      <c r="J401" s="6"/>
      <c r="O401" s="6"/>
    </row>
    <row r="402" spans="10:15" ht="15.75" x14ac:dyDescent="0.3">
      <c r="J402" s="6"/>
      <c r="O402" s="6"/>
    </row>
    <row r="403" spans="10:15" ht="15.75" x14ac:dyDescent="0.3">
      <c r="J403" s="6"/>
      <c r="O403" s="6"/>
    </row>
    <row r="404" spans="10:15" ht="15.75" x14ac:dyDescent="0.3">
      <c r="J404" s="6"/>
      <c r="O404" s="6"/>
    </row>
    <row r="405" spans="10:15" ht="15.75" x14ac:dyDescent="0.3">
      <c r="J405" s="6"/>
      <c r="O405" s="6"/>
    </row>
    <row r="406" spans="10:15" ht="15.75" x14ac:dyDescent="0.3">
      <c r="J406" s="6"/>
      <c r="O406" s="6"/>
    </row>
    <row r="407" spans="10:15" ht="15.75" x14ac:dyDescent="0.3">
      <c r="J407" s="6"/>
      <c r="O407" s="6"/>
    </row>
    <row r="408" spans="10:15" ht="15.75" x14ac:dyDescent="0.3">
      <c r="J408" s="6"/>
      <c r="O408" s="6"/>
    </row>
    <row r="409" spans="10:15" ht="15.75" x14ac:dyDescent="0.3">
      <c r="J409" s="6"/>
      <c r="O409" s="6"/>
    </row>
    <row r="410" spans="10:15" ht="15.75" x14ac:dyDescent="0.3">
      <c r="J410" s="6"/>
      <c r="O410" s="6"/>
    </row>
    <row r="411" spans="10:15" ht="15.75" x14ac:dyDescent="0.3">
      <c r="J411" s="6"/>
      <c r="O411" s="6"/>
    </row>
    <row r="412" spans="10:15" ht="15.75" x14ac:dyDescent="0.3">
      <c r="J412" s="6"/>
      <c r="O412" s="6"/>
    </row>
    <row r="413" spans="10:15" ht="15.75" x14ac:dyDescent="0.3">
      <c r="J413" s="6"/>
      <c r="O413" s="6"/>
    </row>
    <row r="414" spans="10:15" ht="15.75" x14ac:dyDescent="0.3">
      <c r="J414" s="6"/>
      <c r="O414" s="6"/>
    </row>
    <row r="415" spans="10:15" ht="15.75" x14ac:dyDescent="0.3">
      <c r="J415" s="6"/>
      <c r="O415" s="6"/>
    </row>
    <row r="416" spans="10:15" ht="15.75" x14ac:dyDescent="0.3">
      <c r="J416" s="6"/>
      <c r="O416" s="6"/>
    </row>
    <row r="417" spans="10:15" ht="15.75" x14ac:dyDescent="0.3">
      <c r="J417" s="6"/>
      <c r="O417" s="6"/>
    </row>
    <row r="418" spans="10:15" ht="15.75" x14ac:dyDescent="0.3">
      <c r="J418" s="6"/>
      <c r="O418" s="6"/>
    </row>
    <row r="419" spans="10:15" ht="15.75" x14ac:dyDescent="0.3">
      <c r="J419" s="6"/>
      <c r="O419" s="6"/>
    </row>
    <row r="420" spans="10:15" ht="15.75" x14ac:dyDescent="0.3">
      <c r="J420" s="6"/>
      <c r="O420" s="6"/>
    </row>
    <row r="421" spans="10:15" ht="15.75" x14ac:dyDescent="0.3">
      <c r="J421" s="6"/>
      <c r="O421" s="6"/>
    </row>
    <row r="422" spans="10:15" ht="15.75" x14ac:dyDescent="0.3">
      <c r="J422" s="6"/>
      <c r="O422" s="6"/>
    </row>
    <row r="423" spans="10:15" ht="15.75" x14ac:dyDescent="0.3">
      <c r="J423" s="6"/>
      <c r="O423" s="6"/>
    </row>
    <row r="424" spans="10:15" ht="15.75" x14ac:dyDescent="0.3">
      <c r="J424" s="6"/>
      <c r="O424" s="6"/>
    </row>
    <row r="425" spans="10:15" ht="15.75" x14ac:dyDescent="0.3">
      <c r="J425" s="6"/>
      <c r="O425" s="6"/>
    </row>
    <row r="426" spans="10:15" ht="15.75" x14ac:dyDescent="0.3">
      <c r="J426" s="6"/>
      <c r="O426" s="6"/>
    </row>
    <row r="427" spans="10:15" ht="15.75" x14ac:dyDescent="0.3">
      <c r="J427" s="6"/>
      <c r="O427" s="6"/>
    </row>
    <row r="428" spans="10:15" ht="15.75" x14ac:dyDescent="0.3">
      <c r="J428" s="6"/>
      <c r="O428" s="6"/>
    </row>
    <row r="429" spans="10:15" ht="15.75" x14ac:dyDescent="0.3">
      <c r="J429" s="6"/>
      <c r="O429" s="6"/>
    </row>
    <row r="430" spans="10:15" ht="15.75" x14ac:dyDescent="0.3">
      <c r="J430" s="6"/>
      <c r="O430" s="6"/>
    </row>
    <row r="431" spans="10:15" ht="15.75" x14ac:dyDescent="0.3">
      <c r="J431" s="6"/>
      <c r="O431" s="6"/>
    </row>
    <row r="432" spans="10:15" ht="15.75" x14ac:dyDescent="0.3">
      <c r="J432" s="6"/>
      <c r="O432" s="6"/>
    </row>
    <row r="433" spans="10:15" ht="15.75" x14ac:dyDescent="0.3">
      <c r="J433" s="6"/>
      <c r="O433" s="6"/>
    </row>
    <row r="434" spans="10:15" ht="15.75" x14ac:dyDescent="0.3">
      <c r="J434" s="6"/>
      <c r="O434" s="6"/>
    </row>
    <row r="435" spans="10:15" ht="15.75" x14ac:dyDescent="0.3">
      <c r="J435" s="6"/>
      <c r="O435" s="6"/>
    </row>
    <row r="436" spans="10:15" ht="15.75" x14ac:dyDescent="0.3">
      <c r="J436" s="6"/>
      <c r="O436" s="6"/>
    </row>
    <row r="437" spans="10:15" ht="15.75" x14ac:dyDescent="0.3">
      <c r="J437" s="6"/>
      <c r="O437" s="6"/>
    </row>
    <row r="438" spans="10:15" ht="15.75" x14ac:dyDescent="0.3">
      <c r="J438" s="6"/>
      <c r="O438" s="6"/>
    </row>
    <row r="439" spans="10:15" ht="15.75" x14ac:dyDescent="0.3">
      <c r="J439" s="6"/>
      <c r="O439" s="6"/>
    </row>
    <row r="440" spans="10:15" ht="15.75" x14ac:dyDescent="0.3">
      <c r="J440" s="6"/>
      <c r="O440" s="6"/>
    </row>
    <row r="441" spans="10:15" ht="15.75" x14ac:dyDescent="0.3">
      <c r="J441" s="6"/>
      <c r="O441" s="6"/>
    </row>
    <row r="442" spans="10:15" ht="15.75" x14ac:dyDescent="0.3">
      <c r="J442" s="6"/>
      <c r="O442" s="6"/>
    </row>
    <row r="443" spans="10:15" ht="15.75" x14ac:dyDescent="0.3">
      <c r="J443" s="6"/>
      <c r="O443" s="6"/>
    </row>
    <row r="444" spans="10:15" ht="15.75" x14ac:dyDescent="0.3">
      <c r="J444" s="6"/>
      <c r="O444" s="6"/>
    </row>
    <row r="445" spans="10:15" ht="15.75" x14ac:dyDescent="0.3">
      <c r="J445" s="6"/>
      <c r="O445" s="6"/>
    </row>
    <row r="446" spans="10:15" ht="15.75" x14ac:dyDescent="0.3">
      <c r="J446" s="6"/>
      <c r="O446" s="6"/>
    </row>
    <row r="447" spans="10:15" ht="15.75" x14ac:dyDescent="0.3">
      <c r="J447" s="6"/>
      <c r="O447" s="6"/>
    </row>
    <row r="448" spans="10:15" ht="15.75" x14ac:dyDescent="0.3">
      <c r="J448" s="6"/>
      <c r="O448" s="6"/>
    </row>
    <row r="449" spans="10:15" ht="15.75" x14ac:dyDescent="0.3">
      <c r="J449" s="6"/>
      <c r="O449" s="6"/>
    </row>
    <row r="450" spans="10:15" ht="15.75" x14ac:dyDescent="0.3">
      <c r="J450" s="6"/>
      <c r="O450" s="6"/>
    </row>
    <row r="451" spans="10:15" ht="15.75" x14ac:dyDescent="0.3">
      <c r="J451" s="6"/>
      <c r="O451" s="6"/>
    </row>
    <row r="452" spans="10:15" ht="15.75" x14ac:dyDescent="0.3">
      <c r="J452" s="6"/>
      <c r="O452" s="6"/>
    </row>
    <row r="453" spans="10:15" ht="15.75" x14ac:dyDescent="0.3">
      <c r="J453" s="6"/>
      <c r="O453" s="6"/>
    </row>
    <row r="454" spans="10:15" ht="15.75" x14ac:dyDescent="0.3">
      <c r="J454" s="6"/>
      <c r="O454" s="6"/>
    </row>
    <row r="455" spans="10:15" ht="15.75" x14ac:dyDescent="0.3">
      <c r="J455" s="6"/>
      <c r="O455" s="6"/>
    </row>
    <row r="456" spans="10:15" ht="15.75" x14ac:dyDescent="0.3">
      <c r="J456" s="6"/>
      <c r="O456" s="6"/>
    </row>
    <row r="457" spans="10:15" ht="15.75" x14ac:dyDescent="0.3">
      <c r="J457" s="6"/>
      <c r="O457" s="6"/>
    </row>
    <row r="458" spans="10:15" ht="15.75" x14ac:dyDescent="0.3">
      <c r="J458" s="6"/>
      <c r="O458" s="6"/>
    </row>
    <row r="459" spans="10:15" ht="15.75" x14ac:dyDescent="0.3">
      <c r="J459" s="6"/>
      <c r="O459" s="6"/>
    </row>
    <row r="460" spans="10:15" ht="15.75" x14ac:dyDescent="0.3">
      <c r="J460" s="6"/>
      <c r="O460" s="6"/>
    </row>
    <row r="461" spans="10:15" ht="15.75" x14ac:dyDescent="0.3">
      <c r="J461" s="6"/>
      <c r="O461" s="6"/>
    </row>
    <row r="462" spans="10:15" ht="15.75" x14ac:dyDescent="0.3">
      <c r="J462" s="6"/>
      <c r="O462" s="6"/>
    </row>
    <row r="463" spans="10:15" ht="15.75" x14ac:dyDescent="0.3">
      <c r="J463" s="6"/>
      <c r="O463" s="6"/>
    </row>
    <row r="464" spans="10:15" ht="15.75" x14ac:dyDescent="0.3">
      <c r="J464" s="6"/>
      <c r="O464" s="6"/>
    </row>
    <row r="465" spans="10:15" ht="15.75" x14ac:dyDescent="0.3">
      <c r="J465" s="6"/>
      <c r="O465" s="6"/>
    </row>
    <row r="466" spans="10:15" ht="15.75" x14ac:dyDescent="0.3">
      <c r="J466" s="6"/>
      <c r="O466" s="6"/>
    </row>
    <row r="467" spans="10:15" ht="15.75" x14ac:dyDescent="0.3">
      <c r="J467" s="6"/>
      <c r="O467" s="6"/>
    </row>
    <row r="468" spans="10:15" ht="15.75" x14ac:dyDescent="0.3">
      <c r="J468" s="6"/>
      <c r="O468" s="6"/>
    </row>
    <row r="469" spans="10:15" ht="15.75" x14ac:dyDescent="0.3">
      <c r="J469" s="6"/>
      <c r="O469" s="6"/>
    </row>
    <row r="470" spans="10:15" ht="15.75" x14ac:dyDescent="0.3">
      <c r="J470" s="6"/>
      <c r="O470" s="6"/>
    </row>
    <row r="471" spans="10:15" ht="15.75" x14ac:dyDescent="0.3">
      <c r="J471" s="6"/>
      <c r="O471" s="6"/>
    </row>
    <row r="472" spans="10:15" ht="15.75" x14ac:dyDescent="0.3">
      <c r="J472" s="6"/>
      <c r="O472" s="6"/>
    </row>
    <row r="473" spans="10:15" ht="15.75" x14ac:dyDescent="0.3">
      <c r="J473" s="6"/>
      <c r="O473" s="6"/>
    </row>
    <row r="474" spans="10:15" ht="15.75" x14ac:dyDescent="0.3">
      <c r="J474" s="6"/>
      <c r="O474" s="6"/>
    </row>
    <row r="475" spans="10:15" ht="15.75" x14ac:dyDescent="0.3">
      <c r="J475" s="6"/>
      <c r="O475" s="6"/>
    </row>
    <row r="476" spans="10:15" ht="15.75" x14ac:dyDescent="0.3">
      <c r="J476" s="6"/>
      <c r="O476" s="6"/>
    </row>
    <row r="477" spans="10:15" ht="15.75" x14ac:dyDescent="0.3">
      <c r="J477" s="6"/>
      <c r="O477" s="6"/>
    </row>
    <row r="478" spans="10:15" ht="15.75" x14ac:dyDescent="0.3">
      <c r="J478" s="6"/>
      <c r="O478" s="6"/>
    </row>
    <row r="479" spans="10:15" ht="15.75" x14ac:dyDescent="0.3">
      <c r="J479" s="6"/>
      <c r="O479" s="6"/>
    </row>
    <row r="480" spans="10:15" ht="15.75" x14ac:dyDescent="0.3">
      <c r="J480" s="6"/>
      <c r="O480" s="6"/>
    </row>
    <row r="481" spans="10:15" ht="15.75" x14ac:dyDescent="0.3">
      <c r="J481" s="6"/>
      <c r="O481" s="6"/>
    </row>
    <row r="482" spans="10:15" ht="15.75" x14ac:dyDescent="0.3">
      <c r="J482" s="6"/>
      <c r="O482" s="6"/>
    </row>
  </sheetData>
  <mergeCells count="8">
    <mergeCell ref="J1:K1"/>
    <mergeCell ref="F24:G24"/>
    <mergeCell ref="A11:C11"/>
    <mergeCell ref="A17:B17"/>
    <mergeCell ref="A23:B23"/>
    <mergeCell ref="F1:G1"/>
    <mergeCell ref="F16:G16"/>
    <mergeCell ref="F18:G18"/>
  </mergeCells>
  <conditionalFormatting sqref="A18:B1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:G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{3EA23A8A-B59A-4E80-AD35-2CD9FD81F9C7}</x14:id>
        </ext>
      </extLst>
    </cfRule>
  </conditionalFormatting>
  <conditionalFormatting sqref="F17:G17 F19:G23 F18 F24 F25:G30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{66BCA8F0-1250-4C9B-854E-73FAB5F63B0F}</x14:id>
        </ext>
      </extLst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A23A8A-B59A-4E80-AD35-2CD9FD81F9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F2:G13</xm:sqref>
        </x14:conditionalFormatting>
        <x14:conditionalFormatting xmlns:xm="http://schemas.microsoft.com/office/excel/2006/main">
          <x14:cfRule type="dataBar" id="{66BCA8F0-1250-4C9B-854E-73FAB5F63B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F17:G17 F19:G23 F18 F24 F25:G30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5042-204A-4FA7-8642-D173E2D786AB}">
  <dimension ref="A1:B13"/>
  <sheetViews>
    <sheetView workbookViewId="0">
      <selection activeCell="J3" sqref="J3"/>
    </sheetView>
  </sheetViews>
  <sheetFormatPr defaultRowHeight="15" x14ac:dyDescent="0.25"/>
  <cols>
    <col min="1" max="1" width="15" customWidth="1"/>
  </cols>
  <sheetData>
    <row r="1" spans="1:2" x14ac:dyDescent="0.25">
      <c r="A1" t="s">
        <v>1936</v>
      </c>
      <c r="B1" t="s">
        <v>1968</v>
      </c>
    </row>
    <row r="2" spans="1:2" x14ac:dyDescent="0.25">
      <c r="A2" s="11" t="s">
        <v>1935</v>
      </c>
      <c r="B2">
        <v>84</v>
      </c>
    </row>
    <row r="3" spans="1:2" x14ac:dyDescent="0.25">
      <c r="A3" s="11" t="s">
        <v>1931</v>
      </c>
      <c r="B3">
        <v>77</v>
      </c>
    </row>
    <row r="4" spans="1:2" x14ac:dyDescent="0.25">
      <c r="A4" s="11" t="s">
        <v>1932</v>
      </c>
      <c r="B4">
        <v>75</v>
      </c>
    </row>
    <row r="5" spans="1:2" x14ac:dyDescent="0.25">
      <c r="A5" s="11" t="s">
        <v>1934</v>
      </c>
      <c r="B5">
        <v>69</v>
      </c>
    </row>
    <row r="6" spans="1:2" x14ac:dyDescent="0.25">
      <c r="A6" s="11" t="s">
        <v>1967</v>
      </c>
      <c r="B6">
        <v>69</v>
      </c>
    </row>
    <row r="7" spans="1:2" x14ac:dyDescent="0.25">
      <c r="A7" s="11" t="s">
        <v>1930</v>
      </c>
      <c r="B7">
        <v>64</v>
      </c>
    </row>
    <row r="8" spans="1:2" x14ac:dyDescent="0.25">
      <c r="A8" s="11" t="s">
        <v>1933</v>
      </c>
      <c r="B8">
        <v>43</v>
      </c>
    </row>
    <row r="9" spans="1:2" x14ac:dyDescent="0.25">
      <c r="A9" s="11"/>
    </row>
    <row r="10" spans="1:2" x14ac:dyDescent="0.25">
      <c r="A10" s="11"/>
    </row>
    <row r="11" spans="1:2" x14ac:dyDescent="0.25">
      <c r="A11" s="11"/>
    </row>
    <row r="12" spans="1:2" x14ac:dyDescent="0.25">
      <c r="A12" s="11"/>
    </row>
    <row r="13" spans="1:2" x14ac:dyDescent="0.25">
      <c r="A13" s="11"/>
    </row>
  </sheetData>
  <sortState xmlns:xlrd2="http://schemas.microsoft.com/office/spreadsheetml/2017/richdata2" ref="A2:B8">
    <sortCondition descending="1" ref="B2:B8"/>
  </sortState>
  <phoneticPr fontId="7" type="noConversion"/>
  <conditionalFormatting sqref="A2:A1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{E958AE0C-9714-4F85-9056-1FD2043282E9}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58AE0C-9714-4F85-9056-1FD2043282E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A2:A13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4B52-A20C-4F0E-9B07-D6DFFB5B76FD}">
  <dimension ref="A1:J482"/>
  <sheetViews>
    <sheetView topLeftCell="A2" workbookViewId="0">
      <selection activeCell="I8" sqref="I8"/>
    </sheetView>
  </sheetViews>
  <sheetFormatPr defaultRowHeight="15" x14ac:dyDescent="0.25"/>
  <cols>
    <col min="1" max="1" width="23" customWidth="1"/>
    <col min="2" max="2" width="23.42578125" style="7" bestFit="1" customWidth="1"/>
    <col min="9" max="9" width="16" bestFit="1" customWidth="1"/>
    <col min="10" max="10" width="14.85546875" bestFit="1" customWidth="1"/>
    <col min="11" max="17" width="12" bestFit="1" customWidth="1"/>
    <col min="18" max="18" width="3" bestFit="1" customWidth="1"/>
    <col min="19" max="19" width="11" bestFit="1" customWidth="1"/>
    <col min="20" max="20" width="4" bestFit="1" customWidth="1"/>
    <col min="21" max="22" width="12" bestFit="1" customWidth="1"/>
    <col min="23" max="23" width="11" bestFit="1" customWidth="1"/>
    <col min="24" max="37" width="12" bestFit="1" customWidth="1"/>
    <col min="38" max="38" width="11" bestFit="1" customWidth="1"/>
    <col min="39" max="42" width="12" bestFit="1" customWidth="1"/>
    <col min="43" max="44" width="11" bestFit="1" customWidth="1"/>
    <col min="45" max="45" width="12" bestFit="1" customWidth="1"/>
    <col min="46" max="46" width="11" bestFit="1" customWidth="1"/>
    <col min="47" max="58" width="12" bestFit="1" customWidth="1"/>
    <col min="59" max="59" width="4" bestFit="1" customWidth="1"/>
    <col min="60" max="60" width="11" bestFit="1" customWidth="1"/>
    <col min="61" max="62" width="12" bestFit="1" customWidth="1"/>
    <col min="63" max="63" width="4" bestFit="1" customWidth="1"/>
    <col min="64" max="65" width="12" bestFit="1" customWidth="1"/>
    <col min="66" max="66" width="11" bestFit="1" customWidth="1"/>
    <col min="67" max="74" width="12" bestFit="1" customWidth="1"/>
    <col min="75" max="75" width="4" bestFit="1" customWidth="1"/>
    <col min="76" max="76" width="11" bestFit="1" customWidth="1"/>
    <col min="77" max="77" width="12" bestFit="1" customWidth="1"/>
    <col min="78" max="78" width="4" bestFit="1" customWidth="1"/>
    <col min="79" max="84" width="12" bestFit="1" customWidth="1"/>
    <col min="85" max="85" width="11" bestFit="1" customWidth="1"/>
    <col min="86" max="87" width="12" bestFit="1" customWidth="1"/>
    <col min="88" max="88" width="11" bestFit="1" customWidth="1"/>
    <col min="89" max="90" width="12" bestFit="1" customWidth="1"/>
    <col min="91" max="91" width="11" bestFit="1" customWidth="1"/>
    <col min="92" max="95" width="12" bestFit="1" customWidth="1"/>
    <col min="96" max="96" width="4" bestFit="1" customWidth="1"/>
    <col min="97" max="98" width="12" bestFit="1" customWidth="1"/>
    <col min="99" max="99" width="4" bestFit="1" customWidth="1"/>
    <col min="100" max="100" width="12" bestFit="1" customWidth="1"/>
    <col min="101" max="101" width="4" bestFit="1" customWidth="1"/>
    <col min="102" max="108" width="12" bestFit="1" customWidth="1"/>
    <col min="109" max="109" width="10" bestFit="1" customWidth="1"/>
    <col min="110" max="111" width="12" bestFit="1" customWidth="1"/>
    <col min="112" max="113" width="4" bestFit="1" customWidth="1"/>
    <col min="114" max="114" width="11" bestFit="1" customWidth="1"/>
    <col min="115" max="124" width="12" bestFit="1" customWidth="1"/>
    <col min="125" max="125" width="5" bestFit="1" customWidth="1"/>
    <col min="126" max="126" width="12" bestFit="1" customWidth="1"/>
    <col min="127" max="127" width="5" bestFit="1" customWidth="1"/>
    <col min="128" max="128" width="12" bestFit="1" customWidth="1"/>
    <col min="129" max="129" width="5" bestFit="1" customWidth="1"/>
    <col min="130" max="133" width="12" bestFit="1" customWidth="1"/>
    <col min="134" max="135" width="5" bestFit="1" customWidth="1"/>
    <col min="136" max="138" width="12" bestFit="1" customWidth="1"/>
    <col min="139" max="139" width="5" bestFit="1" customWidth="1"/>
    <col min="140" max="142" width="12" bestFit="1" customWidth="1"/>
    <col min="143" max="144" width="5" bestFit="1" customWidth="1"/>
    <col min="145" max="145" width="11" bestFit="1" customWidth="1"/>
    <col min="146" max="149" width="12" bestFit="1" customWidth="1"/>
    <col min="150" max="150" width="5" bestFit="1" customWidth="1"/>
    <col min="151" max="153" width="12" bestFit="1" customWidth="1"/>
    <col min="154" max="154" width="5" bestFit="1" customWidth="1"/>
    <col min="155" max="155" width="11" bestFit="1" customWidth="1"/>
    <col min="156" max="158" width="12" bestFit="1" customWidth="1"/>
    <col min="159" max="159" width="11" bestFit="1" customWidth="1"/>
    <col min="160" max="160" width="5" bestFit="1" customWidth="1"/>
    <col min="161" max="161" width="12" bestFit="1" customWidth="1"/>
    <col min="162" max="162" width="5" bestFit="1" customWidth="1"/>
    <col min="163" max="163" width="12" bestFit="1" customWidth="1"/>
    <col min="164" max="165" width="5" bestFit="1" customWidth="1"/>
    <col min="166" max="166" width="11" bestFit="1" customWidth="1"/>
    <col min="167" max="174" width="12" bestFit="1" customWidth="1"/>
    <col min="175" max="175" width="5" bestFit="1" customWidth="1"/>
    <col min="176" max="176" width="12" bestFit="1" customWidth="1"/>
    <col min="177" max="177" width="11" bestFit="1" customWidth="1"/>
    <col min="178" max="180" width="12" bestFit="1" customWidth="1"/>
    <col min="181" max="182" width="5" bestFit="1" customWidth="1"/>
    <col min="183" max="183" width="10" bestFit="1" customWidth="1"/>
    <col min="184" max="184" width="5" bestFit="1" customWidth="1"/>
    <col min="185" max="186" width="12" bestFit="1" customWidth="1"/>
    <col min="187" max="187" width="5" bestFit="1" customWidth="1"/>
    <col min="188" max="192" width="12" bestFit="1" customWidth="1"/>
    <col min="193" max="193" width="5" bestFit="1" customWidth="1"/>
    <col min="194" max="197" width="12" bestFit="1" customWidth="1"/>
    <col min="198" max="198" width="5" bestFit="1" customWidth="1"/>
    <col min="199" max="203" width="12" bestFit="1" customWidth="1"/>
    <col min="204" max="204" width="5" bestFit="1" customWidth="1"/>
    <col min="205" max="205" width="12" bestFit="1" customWidth="1"/>
    <col min="206" max="209" width="5" bestFit="1" customWidth="1"/>
    <col min="210" max="213" width="12" bestFit="1" customWidth="1"/>
    <col min="214" max="215" width="5" bestFit="1" customWidth="1"/>
    <col min="216" max="218" width="12" bestFit="1" customWidth="1"/>
    <col min="219" max="219" width="11" bestFit="1" customWidth="1"/>
    <col min="220" max="222" width="12" bestFit="1" customWidth="1"/>
    <col min="223" max="223" width="5" bestFit="1" customWidth="1"/>
    <col min="224" max="227" width="12" bestFit="1" customWidth="1"/>
    <col min="228" max="228" width="5" bestFit="1" customWidth="1"/>
    <col min="229" max="229" width="12" bestFit="1" customWidth="1"/>
    <col min="230" max="230" width="5" bestFit="1" customWidth="1"/>
    <col min="231" max="232" width="12" bestFit="1" customWidth="1"/>
    <col min="233" max="233" width="11" bestFit="1" customWidth="1"/>
    <col min="234" max="234" width="5" bestFit="1" customWidth="1"/>
    <col min="235" max="239" width="12" bestFit="1" customWidth="1"/>
    <col min="240" max="260" width="6" bestFit="1" customWidth="1"/>
    <col min="261" max="262" width="7" bestFit="1" customWidth="1"/>
    <col min="263" max="263" width="7.28515625" bestFit="1" customWidth="1"/>
    <col min="264" max="264" width="11.28515625" bestFit="1" customWidth="1"/>
    <col min="265" max="265" width="16.28515625" bestFit="1" customWidth="1"/>
    <col min="266" max="266" width="19.42578125" bestFit="1" customWidth="1"/>
    <col min="267" max="267" width="17.7109375" bestFit="1" customWidth="1"/>
    <col min="268" max="268" width="20.85546875" bestFit="1" customWidth="1"/>
    <col min="269" max="269" width="13.85546875" bestFit="1" customWidth="1"/>
    <col min="270" max="270" width="17" bestFit="1" customWidth="1"/>
    <col min="271" max="271" width="14.140625" bestFit="1" customWidth="1"/>
    <col min="272" max="272" width="17.42578125" bestFit="1" customWidth="1"/>
    <col min="273" max="273" width="12.140625" bestFit="1" customWidth="1"/>
    <col min="274" max="274" width="15.28515625" bestFit="1" customWidth="1"/>
    <col min="275" max="275" width="12.7109375" bestFit="1" customWidth="1"/>
    <col min="276" max="276" width="15.85546875" bestFit="1" customWidth="1"/>
    <col min="277" max="277" width="11.28515625" bestFit="1" customWidth="1"/>
    <col min="278" max="278" width="14.42578125" bestFit="1" customWidth="1"/>
    <col min="279" max="279" width="12.140625" bestFit="1" customWidth="1"/>
    <col min="280" max="281" width="15.28515625" bestFit="1" customWidth="1"/>
    <col min="282" max="282" width="18.42578125" bestFit="1" customWidth="1"/>
    <col min="283" max="283" width="16.7109375" bestFit="1" customWidth="1"/>
    <col min="284" max="284" width="19.85546875" bestFit="1" customWidth="1"/>
    <col min="285" max="285" width="18.7109375" bestFit="1" customWidth="1"/>
    <col min="286" max="286" width="22" bestFit="1" customWidth="1"/>
    <col min="287" max="287" width="14.42578125" bestFit="1" customWidth="1"/>
    <col min="288" max="288" width="17.7109375" bestFit="1" customWidth="1"/>
    <col min="289" max="289" width="15.7109375" bestFit="1" customWidth="1"/>
    <col min="290" max="290" width="18.85546875" bestFit="1" customWidth="1"/>
    <col min="291" max="291" width="11" bestFit="1" customWidth="1"/>
    <col min="292" max="292" width="14.140625" bestFit="1" customWidth="1"/>
    <col min="293" max="293" width="16.140625" bestFit="1" customWidth="1"/>
    <col min="294" max="294" width="19.28515625" bestFit="1" customWidth="1"/>
    <col min="295" max="295" width="15.5703125" bestFit="1" customWidth="1"/>
    <col min="296" max="296" width="18.7109375" bestFit="1" customWidth="1"/>
    <col min="297" max="297" width="16.5703125" bestFit="1" customWidth="1"/>
    <col min="298" max="298" width="19.7109375" bestFit="1" customWidth="1"/>
    <col min="299" max="299" width="15.5703125" bestFit="1" customWidth="1"/>
    <col min="300" max="300" width="18.7109375" bestFit="1" customWidth="1"/>
    <col min="301" max="301" width="13.28515625" bestFit="1" customWidth="1"/>
    <col min="302" max="302" width="16.42578125" bestFit="1" customWidth="1"/>
    <col min="303" max="303" width="17.28515625" bestFit="1" customWidth="1"/>
    <col min="304" max="304" width="20.42578125" bestFit="1" customWidth="1"/>
    <col min="305" max="305" width="17.7109375" bestFit="1" customWidth="1"/>
    <col min="306" max="306" width="20.85546875" bestFit="1" customWidth="1"/>
    <col min="307" max="307" width="16" bestFit="1" customWidth="1"/>
    <col min="308" max="308" width="19.140625" bestFit="1" customWidth="1"/>
    <col min="309" max="309" width="15.5703125" bestFit="1" customWidth="1"/>
    <col min="310" max="310" width="18.7109375" bestFit="1" customWidth="1"/>
    <col min="311" max="311" width="11.5703125" bestFit="1" customWidth="1"/>
    <col min="312" max="312" width="14.7109375" bestFit="1" customWidth="1"/>
    <col min="313" max="313" width="15.5703125" bestFit="1" customWidth="1"/>
    <col min="314" max="314" width="18.7109375" bestFit="1" customWidth="1"/>
    <col min="315" max="315" width="17.28515625" bestFit="1" customWidth="1"/>
    <col min="316" max="316" width="20.42578125" bestFit="1" customWidth="1"/>
    <col min="317" max="317" width="12.7109375" bestFit="1" customWidth="1"/>
    <col min="318" max="318" width="15.85546875" bestFit="1" customWidth="1"/>
    <col min="319" max="319" width="14.42578125" bestFit="1" customWidth="1"/>
    <col min="320" max="320" width="17.7109375" bestFit="1" customWidth="1"/>
    <col min="321" max="321" width="13.140625" bestFit="1" customWidth="1"/>
    <col min="322" max="322" width="16.28515625" bestFit="1" customWidth="1"/>
    <col min="323" max="323" width="13.5703125" bestFit="1" customWidth="1"/>
    <col min="324" max="325" width="16.7109375" bestFit="1" customWidth="1"/>
    <col min="326" max="326" width="19.85546875" bestFit="1" customWidth="1"/>
    <col min="327" max="327" width="14.5703125" bestFit="1" customWidth="1"/>
    <col min="328" max="328" width="17.85546875" bestFit="1" customWidth="1"/>
    <col min="329" max="329" width="19.28515625" bestFit="1" customWidth="1"/>
    <col min="330" max="330" width="22.42578125" bestFit="1" customWidth="1"/>
    <col min="331" max="331" width="14.140625" bestFit="1" customWidth="1"/>
    <col min="332" max="332" width="17.42578125" bestFit="1" customWidth="1"/>
    <col min="333" max="333" width="15.28515625" bestFit="1" customWidth="1"/>
    <col min="334" max="334" width="18.42578125" bestFit="1" customWidth="1"/>
    <col min="335" max="335" width="15.42578125" bestFit="1" customWidth="1"/>
    <col min="336" max="336" width="18.5703125" bestFit="1" customWidth="1"/>
    <col min="337" max="337" width="16" bestFit="1" customWidth="1"/>
    <col min="338" max="338" width="19.140625" bestFit="1" customWidth="1"/>
    <col min="339" max="339" width="15.85546875" bestFit="1" customWidth="1"/>
    <col min="340" max="340" width="19" bestFit="1" customWidth="1"/>
    <col min="341" max="341" width="17.140625" bestFit="1" customWidth="1"/>
    <col min="342" max="342" width="20.28515625" bestFit="1" customWidth="1"/>
    <col min="343" max="343" width="13.28515625" bestFit="1" customWidth="1"/>
    <col min="344" max="344" width="16.42578125" bestFit="1" customWidth="1"/>
    <col min="345" max="345" width="14.140625" bestFit="1" customWidth="1"/>
    <col min="346" max="346" width="17.42578125" bestFit="1" customWidth="1"/>
    <col min="347" max="347" width="13.5703125" bestFit="1" customWidth="1"/>
    <col min="348" max="348" width="16.7109375" bestFit="1" customWidth="1"/>
    <col min="349" max="349" width="14.7109375" bestFit="1" customWidth="1"/>
    <col min="350" max="350" width="18" bestFit="1" customWidth="1"/>
    <col min="351" max="351" width="17.5703125" bestFit="1" customWidth="1"/>
    <col min="352" max="352" width="20.7109375" bestFit="1" customWidth="1"/>
    <col min="353" max="353" width="14.140625" bestFit="1" customWidth="1"/>
    <col min="354" max="354" width="17.42578125" bestFit="1" customWidth="1"/>
    <col min="355" max="355" width="13.42578125" bestFit="1" customWidth="1"/>
    <col min="356" max="356" width="16.5703125" bestFit="1" customWidth="1"/>
    <col min="357" max="357" width="18" bestFit="1" customWidth="1"/>
    <col min="358" max="358" width="21.140625" bestFit="1" customWidth="1"/>
    <col min="359" max="359" width="13.140625" bestFit="1" customWidth="1"/>
    <col min="360" max="360" width="16.28515625" bestFit="1" customWidth="1"/>
    <col min="361" max="361" width="16.85546875" bestFit="1" customWidth="1"/>
    <col min="362" max="362" width="20" bestFit="1" customWidth="1"/>
    <col min="363" max="363" width="16.28515625" bestFit="1" customWidth="1"/>
    <col min="364" max="364" width="19.42578125" bestFit="1" customWidth="1"/>
    <col min="365" max="365" width="12.5703125" bestFit="1" customWidth="1"/>
    <col min="366" max="366" width="15.7109375" bestFit="1" customWidth="1"/>
    <col min="367" max="367" width="17.28515625" bestFit="1" customWidth="1"/>
    <col min="368" max="368" width="20.42578125" bestFit="1" customWidth="1"/>
    <col min="369" max="369" width="13.28515625" bestFit="1" customWidth="1"/>
    <col min="370" max="370" width="16.42578125" bestFit="1" customWidth="1"/>
    <col min="371" max="371" width="16.140625" bestFit="1" customWidth="1"/>
    <col min="372" max="372" width="19.28515625" bestFit="1" customWidth="1"/>
    <col min="373" max="373" width="18.140625" bestFit="1" customWidth="1"/>
    <col min="374" max="374" width="21.42578125" bestFit="1" customWidth="1"/>
    <col min="375" max="375" width="16.7109375" bestFit="1" customWidth="1"/>
    <col min="376" max="376" width="19.85546875" bestFit="1" customWidth="1"/>
    <col min="377" max="377" width="17.28515625" bestFit="1" customWidth="1"/>
    <col min="378" max="378" width="20.42578125" bestFit="1" customWidth="1"/>
    <col min="379" max="379" width="16.28515625" bestFit="1" customWidth="1"/>
    <col min="380" max="380" width="19.42578125" bestFit="1" customWidth="1"/>
    <col min="381" max="382" width="16.42578125" bestFit="1" customWidth="1"/>
    <col min="383" max="383" width="19.5703125" bestFit="1" customWidth="1"/>
    <col min="384" max="384" width="18.5703125" bestFit="1" customWidth="1"/>
    <col min="385" max="385" width="21.85546875" bestFit="1" customWidth="1"/>
    <col min="386" max="386" width="18.28515625" bestFit="1" customWidth="1"/>
    <col min="387" max="387" width="21.5703125" bestFit="1" customWidth="1"/>
    <col min="388" max="388" width="16.140625" bestFit="1" customWidth="1"/>
    <col min="389" max="389" width="19.28515625" bestFit="1" customWidth="1"/>
    <col min="390" max="390" width="15" bestFit="1" customWidth="1"/>
    <col min="391" max="391" width="18.140625" bestFit="1" customWidth="1"/>
    <col min="392" max="392" width="16.42578125" bestFit="1" customWidth="1"/>
    <col min="393" max="393" width="19.5703125" bestFit="1" customWidth="1"/>
    <col min="394" max="394" width="17.42578125" bestFit="1" customWidth="1"/>
    <col min="395" max="395" width="20.5703125" bestFit="1" customWidth="1"/>
    <col min="396" max="396" width="16" bestFit="1" customWidth="1"/>
    <col min="397" max="397" width="19.140625" bestFit="1" customWidth="1"/>
    <col min="398" max="398" width="16.140625" bestFit="1" customWidth="1"/>
    <col min="399" max="399" width="19.28515625" bestFit="1" customWidth="1"/>
    <col min="400" max="400" width="15.140625" bestFit="1" customWidth="1"/>
    <col min="401" max="401" width="18.28515625" bestFit="1" customWidth="1"/>
    <col min="402" max="402" width="14.42578125" bestFit="1" customWidth="1"/>
    <col min="403" max="403" width="17.7109375" bestFit="1" customWidth="1"/>
    <col min="404" max="404" width="12.28515625" bestFit="1" customWidth="1"/>
    <col min="405" max="405" width="15.42578125" bestFit="1" customWidth="1"/>
    <col min="406" max="406" width="18" bestFit="1" customWidth="1"/>
    <col min="407" max="407" width="21.140625" bestFit="1" customWidth="1"/>
    <col min="408" max="408" width="12.7109375" bestFit="1" customWidth="1"/>
    <col min="409" max="409" width="15.85546875" bestFit="1" customWidth="1"/>
    <col min="410" max="410" width="13.85546875" bestFit="1" customWidth="1"/>
    <col min="411" max="411" width="17" bestFit="1" customWidth="1"/>
    <col min="412" max="412" width="13.7109375" bestFit="1" customWidth="1"/>
    <col min="413" max="413" width="16.85546875" bestFit="1" customWidth="1"/>
    <col min="414" max="414" width="12.85546875" bestFit="1" customWidth="1"/>
    <col min="415" max="415" width="16" bestFit="1" customWidth="1"/>
    <col min="416" max="416" width="12.140625" bestFit="1" customWidth="1"/>
    <col min="417" max="417" width="15.28515625" bestFit="1" customWidth="1"/>
    <col min="418" max="418" width="12.5703125" bestFit="1" customWidth="1"/>
    <col min="419" max="419" width="15.7109375" bestFit="1" customWidth="1"/>
    <col min="420" max="420" width="12" bestFit="1" customWidth="1"/>
    <col min="421" max="421" width="14.5703125" bestFit="1" customWidth="1"/>
    <col min="422" max="422" width="13.28515625" bestFit="1" customWidth="1"/>
    <col min="423" max="423" width="16.42578125" bestFit="1" customWidth="1"/>
    <col min="424" max="424" width="12" bestFit="1" customWidth="1"/>
    <col min="425" max="425" width="13.7109375" bestFit="1" customWidth="1"/>
    <col min="426" max="426" width="14.28515625" bestFit="1" customWidth="1"/>
    <col min="427" max="427" width="17.5703125" bestFit="1" customWidth="1"/>
    <col min="428" max="428" width="16.5703125" bestFit="1" customWidth="1"/>
    <col min="429" max="429" width="19.7109375" bestFit="1" customWidth="1"/>
    <col min="430" max="430" width="12.5703125" bestFit="1" customWidth="1"/>
    <col min="431" max="431" width="15.7109375" bestFit="1" customWidth="1"/>
    <col min="432" max="432" width="14.42578125" bestFit="1" customWidth="1"/>
    <col min="433" max="433" width="17.7109375" bestFit="1" customWidth="1"/>
    <col min="434" max="434" width="18.28515625" bestFit="1" customWidth="1"/>
    <col min="435" max="435" width="21.5703125" bestFit="1" customWidth="1"/>
    <col min="436" max="436" width="15.28515625" bestFit="1" customWidth="1"/>
    <col min="437" max="437" width="18.42578125" bestFit="1" customWidth="1"/>
    <col min="438" max="438" width="18.85546875" bestFit="1" customWidth="1"/>
    <col min="439" max="439" width="22.140625" bestFit="1" customWidth="1"/>
    <col min="440" max="440" width="16" bestFit="1" customWidth="1"/>
    <col min="441" max="441" width="19.140625" bestFit="1" customWidth="1"/>
    <col min="442" max="442" width="18.85546875" bestFit="1" customWidth="1"/>
    <col min="443" max="443" width="22.140625" bestFit="1" customWidth="1"/>
    <col min="444" max="444" width="14.28515625" bestFit="1" customWidth="1"/>
    <col min="445" max="445" width="17.5703125" bestFit="1" customWidth="1"/>
    <col min="446" max="446" width="16.140625" bestFit="1" customWidth="1"/>
    <col min="447" max="447" width="19.28515625" bestFit="1" customWidth="1"/>
    <col min="448" max="448" width="12.7109375" bestFit="1" customWidth="1"/>
    <col min="449" max="449" width="15.85546875" bestFit="1" customWidth="1"/>
    <col min="450" max="450" width="13" bestFit="1" customWidth="1"/>
    <col min="451" max="451" width="16.140625" bestFit="1" customWidth="1"/>
    <col min="452" max="452" width="14.7109375" bestFit="1" customWidth="1"/>
    <col min="453" max="453" width="18" bestFit="1" customWidth="1"/>
    <col min="454" max="454" width="14.7109375" bestFit="1" customWidth="1"/>
    <col min="455" max="455" width="18" bestFit="1" customWidth="1"/>
    <col min="456" max="456" width="15.140625" bestFit="1" customWidth="1"/>
    <col min="457" max="457" width="18.28515625" bestFit="1" customWidth="1"/>
    <col min="458" max="458" width="15.7109375" bestFit="1" customWidth="1"/>
    <col min="459" max="459" width="18.85546875" bestFit="1" customWidth="1"/>
    <col min="460" max="460" width="15.28515625" bestFit="1" customWidth="1"/>
    <col min="461" max="461" width="18.42578125" bestFit="1" customWidth="1"/>
    <col min="462" max="462" width="17.28515625" bestFit="1" customWidth="1"/>
    <col min="463" max="463" width="20.42578125" bestFit="1" customWidth="1"/>
    <col min="464" max="465" width="14.140625" bestFit="1" customWidth="1"/>
    <col min="466" max="466" width="17.42578125" bestFit="1" customWidth="1"/>
    <col min="467" max="467" width="16.140625" bestFit="1" customWidth="1"/>
    <col min="468" max="468" width="19.28515625" bestFit="1" customWidth="1"/>
    <col min="469" max="469" width="17.7109375" bestFit="1" customWidth="1"/>
    <col min="470" max="470" width="20.85546875" bestFit="1" customWidth="1"/>
    <col min="471" max="471" width="13" bestFit="1" customWidth="1"/>
    <col min="472" max="472" width="16.140625" bestFit="1" customWidth="1"/>
    <col min="473" max="473" width="13.140625" bestFit="1" customWidth="1"/>
    <col min="474" max="474" width="16.28515625" bestFit="1" customWidth="1"/>
    <col min="475" max="475" width="13.28515625" bestFit="1" customWidth="1"/>
    <col min="476" max="476" width="16.42578125" bestFit="1" customWidth="1"/>
    <col min="477" max="477" width="17.28515625" bestFit="1" customWidth="1"/>
    <col min="478" max="478" width="20.42578125" bestFit="1" customWidth="1"/>
    <col min="479" max="479" width="16.42578125" bestFit="1" customWidth="1"/>
    <col min="480" max="480" width="19.5703125" bestFit="1" customWidth="1"/>
    <col min="481" max="481" width="13.42578125" bestFit="1" customWidth="1"/>
    <col min="482" max="482" width="16.5703125" bestFit="1" customWidth="1"/>
    <col min="483" max="483" width="13" bestFit="1" customWidth="1"/>
    <col min="484" max="484" width="16.140625" bestFit="1" customWidth="1"/>
    <col min="485" max="485" width="13.7109375" bestFit="1" customWidth="1"/>
    <col min="486" max="486" width="16.85546875" bestFit="1" customWidth="1"/>
    <col min="487" max="487" width="16.28515625" bestFit="1" customWidth="1"/>
    <col min="488" max="488" width="19.42578125" bestFit="1" customWidth="1"/>
    <col min="489" max="489" width="15.28515625" bestFit="1" customWidth="1"/>
    <col min="490" max="490" width="18.42578125" bestFit="1" customWidth="1"/>
    <col min="491" max="491" width="16.42578125" bestFit="1" customWidth="1"/>
    <col min="492" max="492" width="19.5703125" bestFit="1" customWidth="1"/>
    <col min="493" max="493" width="16.5703125" bestFit="1" customWidth="1"/>
    <col min="494" max="494" width="19.7109375" bestFit="1" customWidth="1"/>
    <col min="495" max="495" width="20.7109375" bestFit="1" customWidth="1"/>
    <col min="496" max="496" width="23.85546875" bestFit="1" customWidth="1"/>
    <col min="497" max="497" width="16.42578125" bestFit="1" customWidth="1"/>
    <col min="498" max="498" width="19.5703125" bestFit="1" customWidth="1"/>
    <col min="499" max="499" width="16.85546875" bestFit="1" customWidth="1"/>
    <col min="500" max="500" width="20" bestFit="1" customWidth="1"/>
    <col min="501" max="501" width="15.85546875" bestFit="1" customWidth="1"/>
    <col min="502" max="502" width="19" bestFit="1" customWidth="1"/>
    <col min="503" max="503" width="18.42578125" bestFit="1" customWidth="1"/>
    <col min="504" max="504" width="21.7109375" bestFit="1" customWidth="1"/>
    <col min="505" max="505" width="12.42578125" bestFit="1" customWidth="1"/>
    <col min="506" max="506" width="15.5703125" bestFit="1" customWidth="1"/>
    <col min="507" max="507" width="14.42578125" bestFit="1" customWidth="1"/>
    <col min="508" max="508" width="17.7109375" bestFit="1" customWidth="1"/>
    <col min="509" max="509" width="15" bestFit="1" customWidth="1"/>
    <col min="510" max="510" width="18.140625" bestFit="1" customWidth="1"/>
    <col min="511" max="511" width="16.85546875" bestFit="1" customWidth="1"/>
    <col min="512" max="512" width="20" bestFit="1" customWidth="1"/>
    <col min="513" max="513" width="13.7109375" bestFit="1" customWidth="1"/>
    <col min="514" max="514" width="16.85546875" bestFit="1" customWidth="1"/>
    <col min="515" max="515" width="12.85546875" bestFit="1" customWidth="1"/>
    <col min="516" max="516" width="16" bestFit="1" customWidth="1"/>
    <col min="517" max="517" width="15.42578125" bestFit="1" customWidth="1"/>
    <col min="518" max="518" width="18.5703125" bestFit="1" customWidth="1"/>
    <col min="519" max="519" width="13.42578125" bestFit="1" customWidth="1"/>
    <col min="520" max="520" width="16.5703125" bestFit="1" customWidth="1"/>
    <col min="521" max="521" width="12.85546875" bestFit="1" customWidth="1"/>
    <col min="522" max="522" width="16" bestFit="1" customWidth="1"/>
    <col min="523" max="523" width="13.140625" bestFit="1" customWidth="1"/>
    <col min="524" max="524" width="16.28515625" bestFit="1" customWidth="1"/>
    <col min="525" max="525" width="15.85546875" bestFit="1" customWidth="1"/>
    <col min="526" max="526" width="19" bestFit="1" customWidth="1"/>
    <col min="527" max="527" width="13.140625" bestFit="1" customWidth="1"/>
    <col min="528" max="528" width="16.28515625" bestFit="1" customWidth="1"/>
    <col min="529" max="529" width="13.42578125" bestFit="1" customWidth="1"/>
    <col min="530" max="530" width="16.5703125" bestFit="1" customWidth="1"/>
    <col min="531" max="531" width="17" bestFit="1" customWidth="1"/>
    <col min="532" max="532" width="20.140625" bestFit="1" customWidth="1"/>
    <col min="533" max="533" width="14" bestFit="1" customWidth="1"/>
    <col min="534" max="534" width="17.28515625" bestFit="1" customWidth="1"/>
    <col min="535" max="535" width="21.28515625" bestFit="1" customWidth="1"/>
    <col min="536" max="536" width="24.42578125" bestFit="1" customWidth="1"/>
    <col min="537" max="537" width="18" bestFit="1" customWidth="1"/>
    <col min="538" max="538" width="21.140625" bestFit="1" customWidth="1"/>
    <col min="539" max="539" width="15.42578125" bestFit="1" customWidth="1"/>
    <col min="540" max="540" width="18.5703125" bestFit="1" customWidth="1"/>
    <col min="541" max="541" width="16.42578125" bestFit="1" customWidth="1"/>
    <col min="542" max="542" width="19.5703125" bestFit="1" customWidth="1"/>
    <col min="543" max="543" width="15" bestFit="1" customWidth="1"/>
    <col min="544" max="544" width="18.140625" bestFit="1" customWidth="1"/>
    <col min="545" max="545" width="18.7109375" bestFit="1" customWidth="1"/>
    <col min="546" max="546" width="22" bestFit="1" customWidth="1"/>
    <col min="547" max="547" width="14.28515625" bestFit="1" customWidth="1"/>
    <col min="548" max="548" width="17.5703125" bestFit="1" customWidth="1"/>
    <col min="549" max="549" width="14.28515625" bestFit="1" customWidth="1"/>
    <col min="550" max="550" width="17.5703125" bestFit="1" customWidth="1"/>
    <col min="551" max="551" width="14.5703125" bestFit="1" customWidth="1"/>
    <col min="552" max="552" width="17.85546875" bestFit="1" customWidth="1"/>
    <col min="553" max="553" width="15.140625" bestFit="1" customWidth="1"/>
    <col min="554" max="554" width="18.28515625" bestFit="1" customWidth="1"/>
    <col min="555" max="555" width="12" bestFit="1" customWidth="1"/>
    <col min="556" max="556" width="15.140625" bestFit="1" customWidth="1"/>
    <col min="557" max="557" width="13.85546875" bestFit="1" customWidth="1"/>
    <col min="558" max="558" width="17" bestFit="1" customWidth="1"/>
    <col min="559" max="559" width="13.42578125" bestFit="1" customWidth="1"/>
    <col min="560" max="560" width="16.5703125" bestFit="1" customWidth="1"/>
    <col min="561" max="561" width="19.85546875" bestFit="1" customWidth="1"/>
    <col min="562" max="562" width="23" bestFit="1" customWidth="1"/>
    <col min="563" max="563" width="14.5703125" bestFit="1" customWidth="1"/>
    <col min="564" max="564" width="17.85546875" bestFit="1" customWidth="1"/>
    <col min="565" max="565" width="16.28515625" bestFit="1" customWidth="1"/>
    <col min="566" max="566" width="19.42578125" bestFit="1" customWidth="1"/>
    <col min="567" max="567" width="15.140625" bestFit="1" customWidth="1"/>
    <col min="568" max="568" width="18.28515625" bestFit="1" customWidth="1"/>
    <col min="569" max="569" width="10.85546875" bestFit="1" customWidth="1"/>
    <col min="570" max="570" width="14" bestFit="1" customWidth="1"/>
    <col min="571" max="571" width="14.140625" bestFit="1" customWidth="1"/>
    <col min="572" max="572" width="17.42578125" bestFit="1" customWidth="1"/>
    <col min="573" max="573" width="12" bestFit="1" customWidth="1"/>
    <col min="574" max="574" width="14.7109375" bestFit="1" customWidth="1"/>
    <col min="575" max="575" width="12" bestFit="1" customWidth="1"/>
    <col min="576" max="576" width="14.85546875" bestFit="1" customWidth="1"/>
    <col min="577" max="577" width="13.5703125" bestFit="1" customWidth="1"/>
    <col min="578" max="578" width="16.7109375" bestFit="1" customWidth="1"/>
    <col min="579" max="579" width="14.42578125" bestFit="1" customWidth="1"/>
    <col min="580" max="580" width="17.7109375" bestFit="1" customWidth="1"/>
    <col min="581" max="581" width="15.42578125" bestFit="1" customWidth="1"/>
    <col min="582" max="582" width="18.5703125" bestFit="1" customWidth="1"/>
    <col min="583" max="583" width="13.140625" bestFit="1" customWidth="1"/>
    <col min="584" max="584" width="16.28515625" bestFit="1" customWidth="1"/>
    <col min="585" max="585" width="20" bestFit="1" customWidth="1"/>
    <col min="586" max="586" width="23.140625" bestFit="1" customWidth="1"/>
    <col min="587" max="587" width="14.7109375" bestFit="1" customWidth="1"/>
    <col min="588" max="588" width="18" bestFit="1" customWidth="1"/>
    <col min="589" max="589" width="13.5703125" bestFit="1" customWidth="1"/>
    <col min="590" max="590" width="16.7109375" bestFit="1" customWidth="1"/>
    <col min="591" max="591" width="19.140625" bestFit="1" customWidth="1"/>
    <col min="592" max="592" width="22.28515625" bestFit="1" customWidth="1"/>
    <col min="593" max="593" width="14" bestFit="1" customWidth="1"/>
    <col min="594" max="594" width="17.28515625" bestFit="1" customWidth="1"/>
    <col min="595" max="595" width="14.28515625" bestFit="1" customWidth="1"/>
    <col min="596" max="596" width="17.5703125" bestFit="1" customWidth="1"/>
    <col min="597" max="597" width="13.7109375" bestFit="1" customWidth="1"/>
    <col min="598" max="598" width="16.85546875" bestFit="1" customWidth="1"/>
    <col min="599" max="599" width="13" bestFit="1" customWidth="1"/>
    <col min="600" max="600" width="16.140625" bestFit="1" customWidth="1"/>
    <col min="601" max="601" width="13" bestFit="1" customWidth="1"/>
    <col min="602" max="602" width="16.140625" bestFit="1" customWidth="1"/>
    <col min="603" max="603" width="12.5703125" bestFit="1" customWidth="1"/>
    <col min="604" max="604" width="15.7109375" bestFit="1" customWidth="1"/>
    <col min="605" max="605" width="17" bestFit="1" customWidth="1"/>
    <col min="606" max="606" width="20.140625" bestFit="1" customWidth="1"/>
    <col min="607" max="607" width="13" bestFit="1" customWidth="1"/>
    <col min="608" max="608" width="16.140625" bestFit="1" customWidth="1"/>
    <col min="609" max="609" width="18.5703125" bestFit="1" customWidth="1"/>
    <col min="610" max="610" width="21.85546875" bestFit="1" customWidth="1"/>
    <col min="611" max="611" width="18.42578125" bestFit="1" customWidth="1"/>
    <col min="612" max="612" width="21.7109375" bestFit="1" customWidth="1"/>
    <col min="613" max="613" width="16.140625" bestFit="1" customWidth="1"/>
    <col min="614" max="614" width="19.28515625" bestFit="1" customWidth="1"/>
    <col min="615" max="615" width="14.7109375" bestFit="1" customWidth="1"/>
    <col min="616" max="616" width="18" bestFit="1" customWidth="1"/>
    <col min="617" max="617" width="15" bestFit="1" customWidth="1"/>
    <col min="618" max="618" width="18.140625" bestFit="1" customWidth="1"/>
    <col min="619" max="619" width="17.140625" bestFit="1" customWidth="1"/>
    <col min="620" max="620" width="20.28515625" bestFit="1" customWidth="1"/>
    <col min="621" max="621" width="13.85546875" bestFit="1" customWidth="1"/>
    <col min="622" max="622" width="17" bestFit="1" customWidth="1"/>
    <col min="623" max="623" width="18.140625" bestFit="1" customWidth="1"/>
    <col min="624" max="624" width="21.42578125" bestFit="1" customWidth="1"/>
    <col min="625" max="625" width="19.28515625" bestFit="1" customWidth="1"/>
    <col min="626" max="626" width="22.42578125" bestFit="1" customWidth="1"/>
    <col min="627" max="627" width="19.85546875" bestFit="1" customWidth="1"/>
    <col min="628" max="628" width="23" bestFit="1" customWidth="1"/>
    <col min="629" max="629" width="16.42578125" bestFit="1" customWidth="1"/>
    <col min="630" max="630" width="19.5703125" bestFit="1" customWidth="1"/>
    <col min="631" max="631" width="15.140625" bestFit="1" customWidth="1"/>
    <col min="632" max="632" width="18.28515625" bestFit="1" customWidth="1"/>
    <col min="633" max="633" width="17.5703125" bestFit="1" customWidth="1"/>
    <col min="634" max="634" width="20.7109375" bestFit="1" customWidth="1"/>
    <col min="635" max="635" width="14" bestFit="1" customWidth="1"/>
    <col min="636" max="636" width="17.28515625" bestFit="1" customWidth="1"/>
    <col min="637" max="637" width="14.140625" bestFit="1" customWidth="1"/>
    <col min="638" max="638" width="17.42578125" bestFit="1" customWidth="1"/>
    <col min="639" max="639" width="15.42578125" bestFit="1" customWidth="1"/>
    <col min="640" max="640" width="18.5703125" bestFit="1" customWidth="1"/>
    <col min="641" max="641" width="12" bestFit="1" customWidth="1"/>
    <col min="642" max="642" width="15.140625" bestFit="1" customWidth="1"/>
    <col min="643" max="643" width="17.42578125" bestFit="1" customWidth="1"/>
    <col min="644" max="644" width="20.5703125" bestFit="1" customWidth="1"/>
    <col min="645" max="645" width="17.7109375" bestFit="1" customWidth="1"/>
    <col min="646" max="646" width="20.85546875" bestFit="1" customWidth="1"/>
    <col min="647" max="647" width="15.5703125" bestFit="1" customWidth="1"/>
    <col min="648" max="648" width="18.7109375" bestFit="1" customWidth="1"/>
    <col min="649" max="649" width="15.140625" bestFit="1" customWidth="1"/>
    <col min="650" max="650" width="18.28515625" bestFit="1" customWidth="1"/>
    <col min="651" max="651" width="15.140625" bestFit="1" customWidth="1"/>
    <col min="652" max="652" width="18.28515625" bestFit="1" customWidth="1"/>
    <col min="653" max="653" width="19.7109375" bestFit="1" customWidth="1"/>
    <col min="654" max="654" width="22.85546875" bestFit="1" customWidth="1"/>
    <col min="655" max="655" width="17.85546875" bestFit="1" customWidth="1"/>
    <col min="656" max="656" width="21" bestFit="1" customWidth="1"/>
    <col min="657" max="657" width="16.7109375" bestFit="1" customWidth="1"/>
    <col min="658" max="658" width="19.85546875" bestFit="1" customWidth="1"/>
    <col min="659" max="659" width="16.85546875" bestFit="1" customWidth="1"/>
    <col min="660" max="660" width="20" bestFit="1" customWidth="1"/>
    <col min="661" max="661" width="17" bestFit="1" customWidth="1"/>
    <col min="662" max="662" width="20.140625" bestFit="1" customWidth="1"/>
    <col min="663" max="663" width="18.42578125" bestFit="1" customWidth="1"/>
    <col min="664" max="664" width="21.7109375" bestFit="1" customWidth="1"/>
    <col min="665" max="665" width="18.28515625" bestFit="1" customWidth="1"/>
    <col min="666" max="666" width="21.5703125" bestFit="1" customWidth="1"/>
    <col min="667" max="667" width="16.42578125" bestFit="1" customWidth="1"/>
    <col min="668" max="668" width="19.5703125" bestFit="1" customWidth="1"/>
    <col min="669" max="669" width="15.42578125" bestFit="1" customWidth="1"/>
    <col min="670" max="670" width="18.5703125" bestFit="1" customWidth="1"/>
    <col min="671" max="671" width="16.42578125" bestFit="1" customWidth="1"/>
    <col min="672" max="672" width="19.5703125" bestFit="1" customWidth="1"/>
    <col min="673" max="673" width="14.42578125" bestFit="1" customWidth="1"/>
    <col min="674" max="674" width="17.7109375" bestFit="1" customWidth="1"/>
    <col min="675" max="675" width="14" bestFit="1" customWidth="1"/>
    <col min="676" max="676" width="17.28515625" bestFit="1" customWidth="1"/>
    <col min="677" max="677" width="14.7109375" bestFit="1" customWidth="1"/>
    <col min="678" max="678" width="18" bestFit="1" customWidth="1"/>
    <col min="679" max="679" width="13.85546875" bestFit="1" customWidth="1"/>
    <col min="680" max="681" width="17" bestFit="1" customWidth="1"/>
    <col min="682" max="682" width="20.140625" bestFit="1" customWidth="1"/>
    <col min="683" max="683" width="13.85546875" bestFit="1" customWidth="1"/>
    <col min="684" max="684" width="17" bestFit="1" customWidth="1"/>
    <col min="685" max="685" width="21.140625" bestFit="1" customWidth="1"/>
    <col min="686" max="686" width="24.28515625" bestFit="1" customWidth="1"/>
    <col min="687" max="687" width="18" bestFit="1" customWidth="1"/>
    <col min="688" max="688" width="21.140625" bestFit="1" customWidth="1"/>
    <col min="689" max="689" width="16.7109375" bestFit="1" customWidth="1"/>
    <col min="690" max="690" width="19.85546875" bestFit="1" customWidth="1"/>
    <col min="691" max="691" width="17.5703125" bestFit="1" customWidth="1"/>
    <col min="692" max="692" width="20.7109375" bestFit="1" customWidth="1"/>
    <col min="693" max="693" width="18.5703125" bestFit="1" customWidth="1"/>
    <col min="694" max="694" width="21.85546875" bestFit="1" customWidth="1"/>
    <col min="695" max="695" width="14.42578125" bestFit="1" customWidth="1"/>
    <col min="696" max="696" width="17.7109375" bestFit="1" customWidth="1"/>
    <col min="697" max="697" width="12" bestFit="1" customWidth="1"/>
    <col min="698" max="698" width="15.140625" bestFit="1" customWidth="1"/>
    <col min="699" max="699" width="14.7109375" bestFit="1" customWidth="1"/>
    <col min="700" max="700" width="18" bestFit="1" customWidth="1"/>
    <col min="701" max="701" width="16.28515625" bestFit="1" customWidth="1"/>
    <col min="702" max="702" width="19.42578125" bestFit="1" customWidth="1"/>
    <col min="703" max="703" width="14.7109375" bestFit="1" customWidth="1"/>
    <col min="704" max="704" width="18" bestFit="1" customWidth="1"/>
    <col min="705" max="705" width="17.140625" bestFit="1" customWidth="1"/>
    <col min="706" max="706" width="20.28515625" bestFit="1" customWidth="1"/>
    <col min="707" max="707" width="16.42578125" bestFit="1" customWidth="1"/>
    <col min="708" max="708" width="19.5703125" bestFit="1" customWidth="1"/>
    <col min="709" max="709" width="17.7109375" bestFit="1" customWidth="1"/>
    <col min="710" max="710" width="20.85546875" bestFit="1" customWidth="1"/>
    <col min="711" max="711" width="15" bestFit="1" customWidth="1"/>
    <col min="712" max="712" width="18.140625" bestFit="1" customWidth="1"/>
    <col min="713" max="713" width="15.42578125" bestFit="1" customWidth="1"/>
    <col min="714" max="714" width="18.5703125" bestFit="1" customWidth="1"/>
    <col min="715" max="715" width="14" bestFit="1" customWidth="1"/>
    <col min="716" max="716" width="17.28515625" bestFit="1" customWidth="1"/>
    <col min="717" max="717" width="12.42578125" bestFit="1" customWidth="1"/>
    <col min="718" max="718" width="15.5703125" bestFit="1" customWidth="1"/>
    <col min="719" max="719" width="13.85546875" bestFit="1" customWidth="1"/>
    <col min="720" max="720" width="17" bestFit="1" customWidth="1"/>
    <col min="721" max="721" width="15.5703125" bestFit="1" customWidth="1"/>
    <col min="722" max="722" width="18.7109375" bestFit="1" customWidth="1"/>
    <col min="723" max="723" width="13.42578125" bestFit="1" customWidth="1"/>
    <col min="724" max="724" width="16.5703125" bestFit="1" customWidth="1"/>
    <col min="725" max="725" width="18" bestFit="1" customWidth="1"/>
    <col min="726" max="726" width="21.140625" bestFit="1" customWidth="1"/>
    <col min="727" max="727" width="18.140625" bestFit="1" customWidth="1"/>
    <col min="728" max="728" width="21.42578125" bestFit="1" customWidth="1"/>
    <col min="729" max="729" width="17.42578125" bestFit="1" customWidth="1"/>
    <col min="730" max="730" width="20.5703125" bestFit="1" customWidth="1"/>
    <col min="731" max="731" width="15.28515625" bestFit="1" customWidth="1"/>
    <col min="732" max="732" width="18.42578125" bestFit="1" customWidth="1"/>
    <col min="733" max="733" width="16.85546875" bestFit="1" customWidth="1"/>
    <col min="734" max="734" width="20" bestFit="1" customWidth="1"/>
    <col min="735" max="735" width="19.140625" bestFit="1" customWidth="1"/>
    <col min="736" max="736" width="22.28515625" bestFit="1" customWidth="1"/>
    <col min="737" max="737" width="18.85546875" bestFit="1" customWidth="1"/>
    <col min="738" max="738" width="22.140625" bestFit="1" customWidth="1"/>
    <col min="739" max="739" width="19.28515625" bestFit="1" customWidth="1"/>
    <col min="740" max="740" width="22.42578125" bestFit="1" customWidth="1"/>
    <col min="741" max="741" width="17.7109375" bestFit="1" customWidth="1"/>
    <col min="742" max="742" width="20.85546875" bestFit="1" customWidth="1"/>
    <col min="743" max="743" width="16.42578125" bestFit="1" customWidth="1"/>
    <col min="744" max="744" width="19.5703125" bestFit="1" customWidth="1"/>
    <col min="745" max="745" width="17.7109375" bestFit="1" customWidth="1"/>
    <col min="746" max="746" width="20.85546875" bestFit="1" customWidth="1"/>
    <col min="747" max="747" width="17.42578125" bestFit="1" customWidth="1"/>
    <col min="748" max="748" width="20.5703125" bestFit="1" customWidth="1"/>
    <col min="749" max="749" width="12.5703125" bestFit="1" customWidth="1"/>
    <col min="750" max="750" width="15.7109375" bestFit="1" customWidth="1"/>
    <col min="751" max="751" width="17.28515625" bestFit="1" customWidth="1"/>
    <col min="752" max="752" width="20.42578125" bestFit="1" customWidth="1"/>
    <col min="753" max="753" width="15.28515625" bestFit="1" customWidth="1"/>
    <col min="754" max="754" width="18.42578125" bestFit="1" customWidth="1"/>
    <col min="755" max="755" width="16.7109375" bestFit="1" customWidth="1"/>
    <col min="756" max="756" width="19.85546875" bestFit="1" customWidth="1"/>
    <col min="757" max="757" width="15.7109375" bestFit="1" customWidth="1"/>
    <col min="758" max="758" width="18.85546875" bestFit="1" customWidth="1"/>
    <col min="759" max="759" width="17.5703125" bestFit="1" customWidth="1"/>
    <col min="760" max="760" width="20.7109375" bestFit="1" customWidth="1"/>
    <col min="761" max="761" width="16.5703125" bestFit="1" customWidth="1"/>
    <col min="762" max="762" width="19.7109375" bestFit="1" customWidth="1"/>
    <col min="763" max="763" width="18" bestFit="1" customWidth="1"/>
    <col min="764" max="764" width="21.140625" bestFit="1" customWidth="1"/>
    <col min="765" max="765" width="14.42578125" bestFit="1" customWidth="1"/>
    <col min="766" max="766" width="17.7109375" bestFit="1" customWidth="1"/>
    <col min="767" max="767" width="17.28515625" bestFit="1" customWidth="1"/>
    <col min="768" max="768" width="20.42578125" bestFit="1" customWidth="1"/>
    <col min="769" max="769" width="11.85546875" bestFit="1" customWidth="1"/>
    <col min="770" max="770" width="15" bestFit="1" customWidth="1"/>
    <col min="771" max="771" width="13.7109375" bestFit="1" customWidth="1"/>
    <col min="772" max="772" width="16.85546875" bestFit="1" customWidth="1"/>
    <col min="773" max="773" width="17.42578125" bestFit="1" customWidth="1"/>
    <col min="774" max="774" width="20.5703125" bestFit="1" customWidth="1"/>
    <col min="775" max="775" width="17.42578125" bestFit="1" customWidth="1"/>
    <col min="776" max="776" width="20.5703125" bestFit="1" customWidth="1"/>
    <col min="777" max="777" width="17.5703125" bestFit="1" customWidth="1"/>
    <col min="778" max="778" width="20.7109375" bestFit="1" customWidth="1"/>
    <col min="779" max="779" width="14.5703125" bestFit="1" customWidth="1"/>
    <col min="780" max="780" width="17.85546875" bestFit="1" customWidth="1"/>
    <col min="781" max="781" width="15.5703125" bestFit="1" customWidth="1"/>
    <col min="782" max="782" width="18.7109375" bestFit="1" customWidth="1"/>
    <col min="783" max="783" width="13.7109375" bestFit="1" customWidth="1"/>
    <col min="784" max="784" width="16.85546875" bestFit="1" customWidth="1"/>
    <col min="785" max="785" width="14.42578125" bestFit="1" customWidth="1"/>
    <col min="786" max="786" width="17.7109375" bestFit="1" customWidth="1"/>
    <col min="787" max="787" width="16.28515625" bestFit="1" customWidth="1"/>
    <col min="788" max="788" width="19.42578125" bestFit="1" customWidth="1"/>
    <col min="789" max="789" width="12.7109375" bestFit="1" customWidth="1"/>
    <col min="790" max="791" width="15.85546875" bestFit="1" customWidth="1"/>
    <col min="792" max="792" width="19" bestFit="1" customWidth="1"/>
    <col min="793" max="793" width="14.140625" bestFit="1" customWidth="1"/>
    <col min="794" max="794" width="17.42578125" bestFit="1" customWidth="1"/>
    <col min="795" max="795" width="13.140625" bestFit="1" customWidth="1"/>
    <col min="796" max="796" width="16.28515625" bestFit="1" customWidth="1"/>
    <col min="797" max="797" width="14.28515625" bestFit="1" customWidth="1"/>
    <col min="798" max="798" width="17.5703125" bestFit="1" customWidth="1"/>
    <col min="799" max="799" width="13.7109375" bestFit="1" customWidth="1"/>
    <col min="800" max="800" width="16.85546875" bestFit="1" customWidth="1"/>
    <col min="801" max="801" width="17.85546875" bestFit="1" customWidth="1"/>
    <col min="802" max="802" width="21" bestFit="1" customWidth="1"/>
    <col min="803" max="803" width="19.5703125" bestFit="1" customWidth="1"/>
    <col min="804" max="804" width="22.7109375" bestFit="1" customWidth="1"/>
    <col min="805" max="805" width="17.5703125" bestFit="1" customWidth="1"/>
    <col min="806" max="806" width="20.7109375" bestFit="1" customWidth="1"/>
    <col min="807" max="807" width="16.28515625" bestFit="1" customWidth="1"/>
    <col min="808" max="808" width="19.42578125" bestFit="1" customWidth="1"/>
    <col min="809" max="809" width="15.42578125" bestFit="1" customWidth="1"/>
    <col min="810" max="810" width="18.5703125" bestFit="1" customWidth="1"/>
    <col min="811" max="811" width="14.7109375" bestFit="1" customWidth="1"/>
    <col min="812" max="812" width="18" bestFit="1" customWidth="1"/>
    <col min="813" max="813" width="17" bestFit="1" customWidth="1"/>
    <col min="814" max="814" width="20.140625" bestFit="1" customWidth="1"/>
    <col min="815" max="815" width="17.7109375" bestFit="1" customWidth="1"/>
    <col min="816" max="816" width="20.85546875" bestFit="1" customWidth="1"/>
    <col min="817" max="817" width="18.140625" bestFit="1" customWidth="1"/>
    <col min="818" max="818" width="21.42578125" bestFit="1" customWidth="1"/>
    <col min="819" max="819" width="19.7109375" bestFit="1" customWidth="1"/>
    <col min="820" max="820" width="22.85546875" bestFit="1" customWidth="1"/>
    <col min="821" max="821" width="17.7109375" bestFit="1" customWidth="1"/>
    <col min="822" max="822" width="20.85546875" bestFit="1" customWidth="1"/>
    <col min="823" max="823" width="17.140625" bestFit="1" customWidth="1"/>
    <col min="824" max="824" width="20.28515625" bestFit="1" customWidth="1"/>
    <col min="825" max="825" width="18.28515625" bestFit="1" customWidth="1"/>
    <col min="826" max="826" width="21.5703125" bestFit="1" customWidth="1"/>
    <col min="827" max="827" width="20.42578125" bestFit="1" customWidth="1"/>
    <col min="828" max="828" width="23.5703125" bestFit="1" customWidth="1"/>
    <col min="829" max="829" width="18.85546875" bestFit="1" customWidth="1"/>
    <col min="830" max="830" width="22.140625" bestFit="1" customWidth="1"/>
    <col min="831" max="831" width="14.7109375" bestFit="1" customWidth="1"/>
    <col min="832" max="832" width="18" bestFit="1" customWidth="1"/>
    <col min="833" max="833" width="14.28515625" bestFit="1" customWidth="1"/>
    <col min="834" max="834" width="17.5703125" bestFit="1" customWidth="1"/>
    <col min="835" max="835" width="17.140625" bestFit="1" customWidth="1"/>
    <col min="836" max="836" width="20.28515625" bestFit="1" customWidth="1"/>
    <col min="837" max="837" width="16.140625" bestFit="1" customWidth="1"/>
    <col min="838" max="838" width="19.28515625" bestFit="1" customWidth="1"/>
    <col min="839" max="839" width="16.5703125" bestFit="1" customWidth="1"/>
    <col min="840" max="840" width="19.7109375" bestFit="1" customWidth="1"/>
    <col min="841" max="841" width="15.5703125" bestFit="1" customWidth="1"/>
    <col min="842" max="842" width="18.7109375" bestFit="1" customWidth="1"/>
    <col min="843" max="843" width="17" bestFit="1" customWidth="1"/>
    <col min="844" max="844" width="20.140625" bestFit="1" customWidth="1"/>
    <col min="845" max="845" width="12.140625" bestFit="1" customWidth="1"/>
    <col min="846" max="846" width="15.28515625" bestFit="1" customWidth="1"/>
    <col min="847" max="847" width="17.42578125" bestFit="1" customWidth="1"/>
    <col min="848" max="848" width="20.5703125" bestFit="1" customWidth="1"/>
    <col min="849" max="849" width="17.28515625" bestFit="1" customWidth="1"/>
    <col min="850" max="850" width="20.42578125" bestFit="1" customWidth="1"/>
    <col min="851" max="851" width="18.7109375" bestFit="1" customWidth="1"/>
    <col min="852" max="852" width="22" bestFit="1" customWidth="1"/>
    <col min="853" max="853" width="16.7109375" bestFit="1" customWidth="1"/>
    <col min="854" max="854" width="19.85546875" bestFit="1" customWidth="1"/>
    <col min="855" max="855" width="15.42578125" bestFit="1" customWidth="1"/>
    <col min="856" max="856" width="18.5703125" bestFit="1" customWidth="1"/>
    <col min="857" max="857" width="14.42578125" bestFit="1" customWidth="1"/>
    <col min="858" max="858" width="17.7109375" bestFit="1" customWidth="1"/>
    <col min="859" max="859" width="16.140625" bestFit="1" customWidth="1"/>
    <col min="860" max="860" width="19.28515625" bestFit="1" customWidth="1"/>
    <col min="861" max="861" width="15.42578125" bestFit="1" customWidth="1"/>
    <col min="862" max="862" width="18.5703125" bestFit="1" customWidth="1"/>
    <col min="863" max="863" width="15.85546875" bestFit="1" customWidth="1"/>
    <col min="864" max="864" width="19" bestFit="1" customWidth="1"/>
    <col min="865" max="865" width="20" bestFit="1" customWidth="1"/>
    <col min="866" max="866" width="23.140625" bestFit="1" customWidth="1"/>
    <col min="867" max="867" width="14.42578125" bestFit="1" customWidth="1"/>
    <col min="868" max="868" width="17.7109375" bestFit="1" customWidth="1"/>
    <col min="869" max="869" width="16.140625" bestFit="1" customWidth="1"/>
    <col min="870" max="870" width="19.28515625" bestFit="1" customWidth="1"/>
    <col min="871" max="871" width="12.5703125" bestFit="1" customWidth="1"/>
    <col min="872" max="872" width="15.7109375" bestFit="1" customWidth="1"/>
    <col min="873" max="873" width="12.42578125" bestFit="1" customWidth="1"/>
    <col min="874" max="874" width="15.5703125" bestFit="1" customWidth="1"/>
    <col min="875" max="875" width="15.7109375" bestFit="1" customWidth="1"/>
    <col min="876" max="876" width="18.85546875" bestFit="1" customWidth="1"/>
    <col min="877" max="877" width="14.28515625" bestFit="1" customWidth="1"/>
    <col min="878" max="878" width="17.5703125" bestFit="1" customWidth="1"/>
    <col min="879" max="879" width="14.7109375" bestFit="1" customWidth="1"/>
    <col min="880" max="880" width="18" bestFit="1" customWidth="1"/>
    <col min="881" max="881" width="16" bestFit="1" customWidth="1"/>
    <col min="882" max="882" width="19.140625" bestFit="1" customWidth="1"/>
    <col min="883" max="883" width="12.140625" bestFit="1" customWidth="1"/>
    <col min="884" max="884" width="15.28515625" bestFit="1" customWidth="1"/>
    <col min="885" max="885" width="16.140625" bestFit="1" customWidth="1"/>
    <col min="886" max="886" width="19.28515625" bestFit="1" customWidth="1"/>
    <col min="887" max="887" width="11.28515625" bestFit="1" customWidth="1"/>
    <col min="888" max="888" width="14.42578125" bestFit="1" customWidth="1"/>
    <col min="889" max="889" width="16.7109375" bestFit="1" customWidth="1"/>
    <col min="890" max="890" width="19.85546875" bestFit="1" customWidth="1"/>
    <col min="891" max="891" width="18.140625" bestFit="1" customWidth="1"/>
    <col min="892" max="892" width="21.42578125" bestFit="1" customWidth="1"/>
    <col min="893" max="893" width="15.7109375" bestFit="1" customWidth="1"/>
    <col min="894" max="894" width="18.85546875" bestFit="1" customWidth="1"/>
    <col min="895" max="895" width="19.5703125" bestFit="1" customWidth="1"/>
    <col min="896" max="896" width="22.7109375" bestFit="1" customWidth="1"/>
    <col min="897" max="897" width="15.5703125" bestFit="1" customWidth="1"/>
    <col min="898" max="898" width="18.7109375" bestFit="1" customWidth="1"/>
    <col min="899" max="899" width="13.7109375" bestFit="1" customWidth="1"/>
    <col min="900" max="900" width="16.85546875" bestFit="1" customWidth="1"/>
    <col min="901" max="901" width="14.140625" bestFit="1" customWidth="1"/>
    <col min="902" max="902" width="17.42578125" bestFit="1" customWidth="1"/>
    <col min="903" max="903" width="16.7109375" bestFit="1" customWidth="1"/>
    <col min="904" max="904" width="19.85546875" bestFit="1" customWidth="1"/>
    <col min="905" max="905" width="14.42578125" bestFit="1" customWidth="1"/>
    <col min="906" max="906" width="17.7109375" bestFit="1" customWidth="1"/>
    <col min="907" max="907" width="12.7109375" bestFit="1" customWidth="1"/>
    <col min="908" max="908" width="15.85546875" bestFit="1" customWidth="1"/>
    <col min="909" max="909" width="14.7109375" bestFit="1" customWidth="1"/>
    <col min="910" max="910" width="18" bestFit="1" customWidth="1"/>
    <col min="911" max="911" width="17.7109375" bestFit="1" customWidth="1"/>
    <col min="912" max="912" width="20.85546875" bestFit="1" customWidth="1"/>
    <col min="913" max="914" width="14" bestFit="1" customWidth="1"/>
    <col min="915" max="915" width="17.28515625" bestFit="1" customWidth="1"/>
    <col min="916" max="916" width="17.7109375" bestFit="1" customWidth="1"/>
    <col min="917" max="917" width="20.85546875" bestFit="1" customWidth="1"/>
    <col min="918" max="918" width="18.140625" bestFit="1" customWidth="1"/>
    <col min="919" max="919" width="21.42578125" bestFit="1" customWidth="1"/>
    <col min="920" max="920" width="11.28515625" bestFit="1" customWidth="1"/>
  </cols>
  <sheetData>
    <row r="1" spans="1:10" ht="15.75" x14ac:dyDescent="0.3">
      <c r="A1" s="8" t="s">
        <v>0</v>
      </c>
      <c r="B1" s="10" t="s">
        <v>1019</v>
      </c>
    </row>
    <row r="2" spans="1:10" ht="15.75" x14ac:dyDescent="0.3">
      <c r="A2" s="1" t="s">
        <v>1473</v>
      </c>
      <c r="B2" s="6">
        <v>123000</v>
      </c>
    </row>
    <row r="3" spans="1:10" ht="15.75" x14ac:dyDescent="0.3">
      <c r="A3" s="1" t="s">
        <v>1705</v>
      </c>
      <c r="B3" s="6">
        <v>120000</v>
      </c>
    </row>
    <row r="4" spans="1:10" ht="15.75" x14ac:dyDescent="0.3">
      <c r="A4" s="1" t="s">
        <v>1764</v>
      </c>
      <c r="B4" s="6">
        <v>95000</v>
      </c>
    </row>
    <row r="5" spans="1:10" ht="15.75" x14ac:dyDescent="0.3">
      <c r="A5" s="1" t="s">
        <v>1511</v>
      </c>
      <c r="B5" s="6">
        <v>90000</v>
      </c>
      <c r="I5" s="19" t="s">
        <v>1964</v>
      </c>
      <c r="J5" t="s">
        <v>1952</v>
      </c>
    </row>
    <row r="6" spans="1:10" ht="15.75" x14ac:dyDescent="0.3">
      <c r="A6" s="1" t="s">
        <v>1534</v>
      </c>
      <c r="B6" s="6">
        <v>78000</v>
      </c>
      <c r="I6" s="25" t="s">
        <v>1473</v>
      </c>
      <c r="J6">
        <v>123000</v>
      </c>
    </row>
    <row r="7" spans="1:10" ht="15.75" x14ac:dyDescent="0.3">
      <c r="A7" s="1" t="s">
        <v>1767</v>
      </c>
      <c r="B7" s="6">
        <v>56000</v>
      </c>
      <c r="I7" s="25" t="s">
        <v>1705</v>
      </c>
      <c r="J7">
        <v>120000</v>
      </c>
    </row>
    <row r="8" spans="1:10" ht="15.75" x14ac:dyDescent="0.3">
      <c r="A8" s="1" t="s">
        <v>1869</v>
      </c>
      <c r="B8" s="6">
        <v>54000</v>
      </c>
      <c r="I8" s="25" t="s">
        <v>1764</v>
      </c>
      <c r="J8">
        <v>95000</v>
      </c>
    </row>
    <row r="9" spans="1:10" ht="15.75" x14ac:dyDescent="0.3">
      <c r="A9" s="1" t="s">
        <v>1744</v>
      </c>
      <c r="B9" s="6">
        <v>50000</v>
      </c>
      <c r="I9" s="25" t="s">
        <v>1511</v>
      </c>
      <c r="J9">
        <v>90000</v>
      </c>
    </row>
    <row r="10" spans="1:10" ht="15.75" x14ac:dyDescent="0.3">
      <c r="A10" s="1" t="s">
        <v>1480</v>
      </c>
      <c r="B10" s="6">
        <v>45000</v>
      </c>
      <c r="I10" s="25" t="s">
        <v>1534</v>
      </c>
      <c r="J10">
        <v>78000</v>
      </c>
    </row>
    <row r="11" spans="1:10" ht="15.75" x14ac:dyDescent="0.3">
      <c r="A11" s="1" t="s">
        <v>1657</v>
      </c>
      <c r="B11" s="6">
        <v>44000</v>
      </c>
      <c r="I11" s="25" t="s">
        <v>1963</v>
      </c>
      <c r="J11">
        <v>506000</v>
      </c>
    </row>
    <row r="12" spans="1:10" ht="15.75" x14ac:dyDescent="0.3">
      <c r="A12" s="1" t="s">
        <v>1596</v>
      </c>
      <c r="B12" s="6">
        <v>34000</v>
      </c>
    </row>
    <row r="13" spans="1:10" ht="15.75" x14ac:dyDescent="0.3">
      <c r="A13" s="1" t="s">
        <v>1484</v>
      </c>
      <c r="B13" s="6">
        <v>29370</v>
      </c>
    </row>
    <row r="14" spans="1:10" ht="15.75" x14ac:dyDescent="0.3">
      <c r="A14" s="1" t="s">
        <v>1474</v>
      </c>
      <c r="B14" s="6">
        <v>25000</v>
      </c>
    </row>
    <row r="15" spans="1:10" ht="15.75" x14ac:dyDescent="0.3">
      <c r="A15" s="1" t="s">
        <v>1909</v>
      </c>
      <c r="B15" s="6">
        <v>25000</v>
      </c>
    </row>
    <row r="16" spans="1:10" ht="15.75" x14ac:dyDescent="0.3">
      <c r="A16" s="1" t="s">
        <v>1494</v>
      </c>
      <c r="B16" s="6">
        <v>23000</v>
      </c>
    </row>
    <row r="17" spans="1:2" ht="15.75" x14ac:dyDescent="0.3">
      <c r="A17" s="1" t="s">
        <v>1681</v>
      </c>
      <c r="B17" s="6">
        <v>18000</v>
      </c>
    </row>
    <row r="18" spans="1:2" ht="15.75" x14ac:dyDescent="0.3">
      <c r="A18" s="1" t="s">
        <v>1579</v>
      </c>
      <c r="B18" s="6">
        <v>17500</v>
      </c>
    </row>
    <row r="19" spans="1:2" ht="15.75" x14ac:dyDescent="0.3">
      <c r="A19" s="1" t="s">
        <v>1852</v>
      </c>
      <c r="B19" s="6">
        <v>17000</v>
      </c>
    </row>
    <row r="20" spans="1:2" ht="15.75" x14ac:dyDescent="0.3">
      <c r="A20" s="1" t="s">
        <v>1893</v>
      </c>
      <c r="B20" s="6">
        <v>17000</v>
      </c>
    </row>
    <row r="21" spans="1:2" ht="15.75" x14ac:dyDescent="0.3">
      <c r="A21" s="1" t="s">
        <v>1665</v>
      </c>
      <c r="B21" s="6">
        <v>15000</v>
      </c>
    </row>
    <row r="22" spans="1:2" ht="15.75" x14ac:dyDescent="0.3">
      <c r="A22" s="1" t="s">
        <v>1898</v>
      </c>
      <c r="B22" s="6">
        <v>14000</v>
      </c>
    </row>
    <row r="23" spans="1:2" ht="15.75" x14ac:dyDescent="0.3">
      <c r="A23" s="1" t="s">
        <v>1565</v>
      </c>
      <c r="B23" s="6">
        <v>13500</v>
      </c>
    </row>
    <row r="24" spans="1:2" ht="15.75" x14ac:dyDescent="0.3">
      <c r="A24" s="1" t="s">
        <v>1817</v>
      </c>
      <c r="B24" s="6">
        <v>13000</v>
      </c>
    </row>
    <row r="25" spans="1:2" ht="15.75" x14ac:dyDescent="0.3">
      <c r="A25" s="1" t="s">
        <v>1563</v>
      </c>
      <c r="B25" s="6">
        <v>12000</v>
      </c>
    </row>
    <row r="26" spans="1:2" ht="15.75" x14ac:dyDescent="0.3">
      <c r="A26" s="1" t="s">
        <v>1739</v>
      </c>
      <c r="B26" s="6">
        <v>10000</v>
      </c>
    </row>
    <row r="27" spans="1:2" ht="15.75" x14ac:dyDescent="0.3">
      <c r="A27" s="1" t="s">
        <v>1684</v>
      </c>
      <c r="B27" s="6">
        <v>9929.4319131085595</v>
      </c>
    </row>
    <row r="28" spans="1:2" ht="15.75" x14ac:dyDescent="0.3">
      <c r="A28" s="1" t="s">
        <v>1564</v>
      </c>
      <c r="B28" s="6">
        <v>9891.8248113452501</v>
      </c>
    </row>
    <row r="29" spans="1:2" ht="15.75" x14ac:dyDescent="0.3">
      <c r="A29" s="1" t="s">
        <v>1885</v>
      </c>
      <c r="B29" s="6">
        <v>9851.8259493926707</v>
      </c>
    </row>
    <row r="30" spans="1:2" ht="15.75" x14ac:dyDescent="0.3">
      <c r="A30" s="1" t="s">
        <v>1482</v>
      </c>
      <c r="B30" s="6">
        <v>9821.6898489904106</v>
      </c>
    </row>
    <row r="31" spans="1:2" ht="15.75" x14ac:dyDescent="0.3">
      <c r="A31" s="1" t="s">
        <v>1813</v>
      </c>
      <c r="B31" s="6">
        <v>9810.3021037234394</v>
      </c>
    </row>
    <row r="32" spans="1:2" ht="15.75" x14ac:dyDescent="0.3">
      <c r="A32" s="1" t="s">
        <v>1712</v>
      </c>
      <c r="B32" s="6">
        <v>9800</v>
      </c>
    </row>
    <row r="33" spans="1:2" ht="15.75" x14ac:dyDescent="0.3">
      <c r="A33" s="1" t="s">
        <v>1881</v>
      </c>
      <c r="B33" s="6">
        <v>9800</v>
      </c>
    </row>
    <row r="34" spans="1:2" ht="15.75" x14ac:dyDescent="0.3">
      <c r="A34" s="1" t="s">
        <v>1911</v>
      </c>
      <c r="B34" s="6">
        <v>9800</v>
      </c>
    </row>
    <row r="35" spans="1:2" ht="15.75" x14ac:dyDescent="0.3">
      <c r="A35" s="1" t="s">
        <v>1641</v>
      </c>
      <c r="B35" s="6">
        <v>9741.8851595885608</v>
      </c>
    </row>
    <row r="36" spans="1:2" ht="15.75" x14ac:dyDescent="0.3">
      <c r="A36" s="1" t="s">
        <v>1913</v>
      </c>
      <c r="B36" s="6">
        <v>9675.4025029014301</v>
      </c>
    </row>
    <row r="37" spans="1:2" ht="15.75" x14ac:dyDescent="0.3">
      <c r="A37" s="1" t="s">
        <v>1543</v>
      </c>
      <c r="B37" s="6">
        <v>9626.6635727363991</v>
      </c>
    </row>
    <row r="38" spans="1:2" ht="15.75" x14ac:dyDescent="0.3">
      <c r="A38" s="1" t="s">
        <v>1490</v>
      </c>
      <c r="B38" s="6">
        <v>9600</v>
      </c>
    </row>
    <row r="39" spans="1:2" ht="15.75" x14ac:dyDescent="0.3">
      <c r="A39" s="1" t="s">
        <v>1874</v>
      </c>
      <c r="B39" s="6">
        <v>9557.1452255059903</v>
      </c>
    </row>
    <row r="40" spans="1:2" ht="15.75" x14ac:dyDescent="0.3">
      <c r="A40" s="1" t="s">
        <v>25</v>
      </c>
      <c r="B40" s="6">
        <v>9500</v>
      </c>
    </row>
    <row r="41" spans="1:2" ht="15.75" x14ac:dyDescent="0.3">
      <c r="A41" s="1" t="s">
        <v>1477</v>
      </c>
      <c r="B41" s="6">
        <v>9500</v>
      </c>
    </row>
    <row r="42" spans="1:2" ht="15.75" x14ac:dyDescent="0.3">
      <c r="A42" s="1" t="s">
        <v>1481</v>
      </c>
      <c r="B42" s="6">
        <v>9500</v>
      </c>
    </row>
    <row r="43" spans="1:2" ht="15.75" x14ac:dyDescent="0.3">
      <c r="A43" s="1" t="s">
        <v>1488</v>
      </c>
      <c r="B43" s="6">
        <v>9500</v>
      </c>
    </row>
    <row r="44" spans="1:2" ht="15.75" x14ac:dyDescent="0.3">
      <c r="A44" s="1" t="s">
        <v>1491</v>
      </c>
      <c r="B44" s="6">
        <v>9500</v>
      </c>
    </row>
    <row r="45" spans="1:2" ht="15.75" x14ac:dyDescent="0.3">
      <c r="A45" s="1" t="s">
        <v>32</v>
      </c>
      <c r="B45" s="6">
        <v>9500</v>
      </c>
    </row>
    <row r="46" spans="1:2" ht="15.75" x14ac:dyDescent="0.3">
      <c r="A46" s="1" t="s">
        <v>1496</v>
      </c>
      <c r="B46" s="6">
        <v>9500</v>
      </c>
    </row>
    <row r="47" spans="1:2" ht="15.75" x14ac:dyDescent="0.3">
      <c r="A47" s="1" t="s">
        <v>42</v>
      </c>
      <c r="B47" s="6">
        <v>9500</v>
      </c>
    </row>
    <row r="48" spans="1:2" ht="15.75" x14ac:dyDescent="0.3">
      <c r="A48" s="1" t="s">
        <v>46</v>
      </c>
      <c r="B48" s="6">
        <v>9500</v>
      </c>
    </row>
    <row r="49" spans="1:2" ht="15.75" x14ac:dyDescent="0.3">
      <c r="A49" s="1" t="s">
        <v>1510</v>
      </c>
      <c r="B49" s="6">
        <v>9500</v>
      </c>
    </row>
    <row r="50" spans="1:2" ht="15.75" x14ac:dyDescent="0.3">
      <c r="A50" s="1" t="s">
        <v>1516</v>
      </c>
      <c r="B50" s="6">
        <v>9500</v>
      </c>
    </row>
    <row r="51" spans="1:2" ht="15.75" x14ac:dyDescent="0.3">
      <c r="A51" s="1" t="s">
        <v>1518</v>
      </c>
      <c r="B51" s="6">
        <v>9500</v>
      </c>
    </row>
    <row r="52" spans="1:2" ht="15.75" x14ac:dyDescent="0.3">
      <c r="A52" s="1" t="s">
        <v>1520</v>
      </c>
      <c r="B52" s="6">
        <v>9500</v>
      </c>
    </row>
    <row r="53" spans="1:2" ht="15.75" x14ac:dyDescent="0.3">
      <c r="A53" s="1" t="s">
        <v>1523</v>
      </c>
      <c r="B53" s="6">
        <v>9500</v>
      </c>
    </row>
    <row r="54" spans="1:2" ht="15.75" x14ac:dyDescent="0.3">
      <c r="A54" s="1" t="s">
        <v>1532</v>
      </c>
      <c r="B54" s="6">
        <v>9500</v>
      </c>
    </row>
    <row r="55" spans="1:2" ht="15.75" x14ac:dyDescent="0.3">
      <c r="A55" s="1" t="s">
        <v>1535</v>
      </c>
      <c r="B55" s="6">
        <v>9500</v>
      </c>
    </row>
    <row r="56" spans="1:2" ht="15.75" x14ac:dyDescent="0.3">
      <c r="A56" s="1" t="s">
        <v>1537</v>
      </c>
      <c r="B56" s="6">
        <v>9500</v>
      </c>
    </row>
    <row r="57" spans="1:2" ht="15.75" x14ac:dyDescent="0.3">
      <c r="A57" s="1" t="s">
        <v>1544</v>
      </c>
      <c r="B57" s="6">
        <v>9500</v>
      </c>
    </row>
    <row r="58" spans="1:2" ht="15.75" x14ac:dyDescent="0.3">
      <c r="A58" s="1" t="s">
        <v>1545</v>
      </c>
      <c r="B58" s="6">
        <v>9500</v>
      </c>
    </row>
    <row r="59" spans="1:2" ht="15.75" x14ac:dyDescent="0.3">
      <c r="A59" s="1" t="s">
        <v>1547</v>
      </c>
      <c r="B59" s="6">
        <v>9500</v>
      </c>
    </row>
    <row r="60" spans="1:2" ht="15.75" x14ac:dyDescent="0.3">
      <c r="A60" s="1" t="s">
        <v>1549</v>
      </c>
      <c r="B60" s="6">
        <v>9500</v>
      </c>
    </row>
    <row r="61" spans="1:2" ht="15.75" x14ac:dyDescent="0.3">
      <c r="A61" s="1" t="s">
        <v>1550</v>
      </c>
      <c r="B61" s="6">
        <v>9500</v>
      </c>
    </row>
    <row r="62" spans="1:2" ht="15.75" x14ac:dyDescent="0.3">
      <c r="A62" s="1" t="s">
        <v>1555</v>
      </c>
      <c r="B62" s="6">
        <v>9500</v>
      </c>
    </row>
    <row r="63" spans="1:2" ht="15.75" x14ac:dyDescent="0.3">
      <c r="A63" s="1" t="s">
        <v>1562</v>
      </c>
      <c r="B63" s="6">
        <v>9500</v>
      </c>
    </row>
    <row r="64" spans="1:2" ht="15.75" x14ac:dyDescent="0.3">
      <c r="A64" s="1" t="s">
        <v>1569</v>
      </c>
      <c r="B64" s="6">
        <v>9500</v>
      </c>
    </row>
    <row r="65" spans="1:2" ht="15.75" x14ac:dyDescent="0.3">
      <c r="A65" s="1" t="s">
        <v>1576</v>
      </c>
      <c r="B65" s="6">
        <v>9500</v>
      </c>
    </row>
    <row r="66" spans="1:2" ht="15.75" x14ac:dyDescent="0.3">
      <c r="A66" s="1" t="s">
        <v>1582</v>
      </c>
      <c r="B66" s="6">
        <v>9500</v>
      </c>
    </row>
    <row r="67" spans="1:2" ht="15.75" x14ac:dyDescent="0.3">
      <c r="A67" s="1" t="s">
        <v>1583</v>
      </c>
      <c r="B67" s="6">
        <v>9500</v>
      </c>
    </row>
    <row r="68" spans="1:2" ht="15.75" x14ac:dyDescent="0.3">
      <c r="A68" s="1" t="s">
        <v>1598</v>
      </c>
      <c r="B68" s="6">
        <v>9500</v>
      </c>
    </row>
    <row r="69" spans="1:2" ht="15.75" x14ac:dyDescent="0.3">
      <c r="A69" s="1" t="s">
        <v>1601</v>
      </c>
      <c r="B69" s="6">
        <v>9500</v>
      </c>
    </row>
    <row r="70" spans="1:2" ht="15.75" x14ac:dyDescent="0.3">
      <c r="A70" s="1" t="s">
        <v>1608</v>
      </c>
      <c r="B70" s="6">
        <v>9500</v>
      </c>
    </row>
    <row r="71" spans="1:2" ht="15.75" x14ac:dyDescent="0.3">
      <c r="A71" s="1" t="s">
        <v>1613</v>
      </c>
      <c r="B71" s="6">
        <v>9500</v>
      </c>
    </row>
    <row r="72" spans="1:2" ht="15.75" x14ac:dyDescent="0.3">
      <c r="A72" s="1" t="s">
        <v>1613</v>
      </c>
      <c r="B72" s="6">
        <v>9500</v>
      </c>
    </row>
    <row r="73" spans="1:2" ht="15.75" x14ac:dyDescent="0.3">
      <c r="A73" s="1" t="s">
        <v>1622</v>
      </c>
      <c r="B73" s="6">
        <v>9500</v>
      </c>
    </row>
    <row r="74" spans="1:2" ht="15.75" x14ac:dyDescent="0.3">
      <c r="A74" s="1" t="s">
        <v>1626</v>
      </c>
      <c r="B74" s="6">
        <v>9500</v>
      </c>
    </row>
    <row r="75" spans="1:2" ht="15.75" x14ac:dyDescent="0.3">
      <c r="A75" s="1" t="s">
        <v>1629</v>
      </c>
      <c r="B75" s="6">
        <v>9500</v>
      </c>
    </row>
    <row r="76" spans="1:2" ht="15.75" x14ac:dyDescent="0.3">
      <c r="A76" s="1" t="s">
        <v>1632</v>
      </c>
      <c r="B76" s="6">
        <v>9500</v>
      </c>
    </row>
    <row r="77" spans="1:2" ht="15.75" x14ac:dyDescent="0.3">
      <c r="A77" s="1" t="s">
        <v>1634</v>
      </c>
      <c r="B77" s="6">
        <v>9500</v>
      </c>
    </row>
    <row r="78" spans="1:2" ht="15.75" x14ac:dyDescent="0.3">
      <c r="A78" s="1" t="s">
        <v>1637</v>
      </c>
      <c r="B78" s="6">
        <v>9500</v>
      </c>
    </row>
    <row r="79" spans="1:2" ht="15.75" x14ac:dyDescent="0.3">
      <c r="A79" s="1" t="s">
        <v>1650</v>
      </c>
      <c r="B79" s="6">
        <v>9500</v>
      </c>
    </row>
    <row r="80" spans="1:2" ht="15.75" x14ac:dyDescent="0.3">
      <c r="A80" s="1" t="s">
        <v>1656</v>
      </c>
      <c r="B80" s="6">
        <v>9500</v>
      </c>
    </row>
    <row r="81" spans="1:2" ht="15.75" x14ac:dyDescent="0.3">
      <c r="A81" s="1" t="s">
        <v>1656</v>
      </c>
      <c r="B81" s="6">
        <v>9500</v>
      </c>
    </row>
    <row r="82" spans="1:2" ht="15.75" x14ac:dyDescent="0.3">
      <c r="A82" s="1" t="s">
        <v>1658</v>
      </c>
      <c r="B82" s="6">
        <v>9500</v>
      </c>
    </row>
    <row r="83" spans="1:2" ht="15.75" x14ac:dyDescent="0.3">
      <c r="A83" s="1" t="s">
        <v>1659</v>
      </c>
      <c r="B83" s="6">
        <v>9500</v>
      </c>
    </row>
    <row r="84" spans="1:2" ht="15.75" x14ac:dyDescent="0.3">
      <c r="A84" s="1" t="s">
        <v>1669</v>
      </c>
      <c r="B84" s="6">
        <v>9500</v>
      </c>
    </row>
    <row r="85" spans="1:2" ht="15.75" x14ac:dyDescent="0.3">
      <c r="A85" s="1" t="s">
        <v>1680</v>
      </c>
      <c r="B85" s="6">
        <v>9500</v>
      </c>
    </row>
    <row r="86" spans="1:2" ht="15.75" x14ac:dyDescent="0.3">
      <c r="A86" s="1" t="s">
        <v>1688</v>
      </c>
      <c r="B86" s="6">
        <v>9500</v>
      </c>
    </row>
    <row r="87" spans="1:2" ht="15.75" x14ac:dyDescent="0.3">
      <c r="A87" s="1" t="s">
        <v>1690</v>
      </c>
      <c r="B87" s="6">
        <v>9500</v>
      </c>
    </row>
    <row r="88" spans="1:2" ht="15.75" x14ac:dyDescent="0.3">
      <c r="A88" s="1" t="s">
        <v>1691</v>
      </c>
      <c r="B88" s="6">
        <v>9500</v>
      </c>
    </row>
    <row r="89" spans="1:2" ht="15.75" x14ac:dyDescent="0.3">
      <c r="A89" s="1" t="s">
        <v>1694</v>
      </c>
      <c r="B89" s="6">
        <v>9500</v>
      </c>
    </row>
    <row r="90" spans="1:2" ht="15.75" x14ac:dyDescent="0.3">
      <c r="A90" s="1" t="s">
        <v>1709</v>
      </c>
      <c r="B90" s="6">
        <v>9500</v>
      </c>
    </row>
    <row r="91" spans="1:2" ht="15.75" x14ac:dyDescent="0.3">
      <c r="A91" s="1" t="s">
        <v>1710</v>
      </c>
      <c r="B91" s="6">
        <v>9500</v>
      </c>
    </row>
    <row r="92" spans="1:2" ht="15.75" x14ac:dyDescent="0.3">
      <c r="A92" s="1" t="s">
        <v>1711</v>
      </c>
      <c r="B92" s="6">
        <v>9500</v>
      </c>
    </row>
    <row r="93" spans="1:2" ht="15.75" x14ac:dyDescent="0.3">
      <c r="A93" s="1" t="s">
        <v>1715</v>
      </c>
      <c r="B93" s="6">
        <v>9500</v>
      </c>
    </row>
    <row r="94" spans="1:2" ht="15.75" x14ac:dyDescent="0.3">
      <c r="A94" s="1" t="s">
        <v>1716</v>
      </c>
      <c r="B94" s="6">
        <v>9500</v>
      </c>
    </row>
    <row r="95" spans="1:2" ht="15.75" x14ac:dyDescent="0.3">
      <c r="A95" s="1" t="s">
        <v>1731</v>
      </c>
      <c r="B95" s="6">
        <v>9500</v>
      </c>
    </row>
    <row r="96" spans="1:2" ht="15.75" x14ac:dyDescent="0.3">
      <c r="A96" s="1" t="s">
        <v>1736</v>
      </c>
      <c r="B96" s="6">
        <v>9500</v>
      </c>
    </row>
    <row r="97" spans="1:2" ht="15.75" x14ac:dyDescent="0.3">
      <c r="A97" s="1" t="s">
        <v>1740</v>
      </c>
      <c r="B97" s="6">
        <v>9500</v>
      </c>
    </row>
    <row r="98" spans="1:2" ht="15.75" x14ac:dyDescent="0.3">
      <c r="A98" s="1" t="s">
        <v>1743</v>
      </c>
      <c r="B98" s="6">
        <v>9500</v>
      </c>
    </row>
    <row r="99" spans="1:2" ht="15.75" x14ac:dyDescent="0.3">
      <c r="A99" s="1" t="s">
        <v>1747</v>
      </c>
      <c r="B99" s="6">
        <v>9500</v>
      </c>
    </row>
    <row r="100" spans="1:2" ht="15.75" x14ac:dyDescent="0.3">
      <c r="A100" s="1" t="s">
        <v>1750</v>
      </c>
      <c r="B100" s="6">
        <v>9500</v>
      </c>
    </row>
    <row r="101" spans="1:2" ht="15.75" x14ac:dyDescent="0.3">
      <c r="A101" s="1" t="s">
        <v>1763</v>
      </c>
      <c r="B101" s="6">
        <v>9500</v>
      </c>
    </row>
    <row r="102" spans="1:2" ht="15.75" x14ac:dyDescent="0.3">
      <c r="A102" s="1" t="s">
        <v>1765</v>
      </c>
      <c r="B102" s="6">
        <v>9500</v>
      </c>
    </row>
    <row r="103" spans="1:2" ht="15.75" x14ac:dyDescent="0.3">
      <c r="A103" s="1" t="s">
        <v>1769</v>
      </c>
      <c r="B103" s="6">
        <v>9500</v>
      </c>
    </row>
    <row r="104" spans="1:2" ht="15.75" x14ac:dyDescent="0.3">
      <c r="A104" s="1" t="s">
        <v>1772</v>
      </c>
      <c r="B104" s="6">
        <v>9500</v>
      </c>
    </row>
    <row r="105" spans="1:2" ht="15.75" x14ac:dyDescent="0.3">
      <c r="A105" s="1" t="s">
        <v>1774</v>
      </c>
      <c r="B105" s="6">
        <v>9500</v>
      </c>
    </row>
    <row r="106" spans="1:2" ht="15.75" x14ac:dyDescent="0.3">
      <c r="A106" s="1" t="s">
        <v>1786</v>
      </c>
      <c r="B106" s="6">
        <v>9500</v>
      </c>
    </row>
    <row r="107" spans="1:2" ht="15.75" x14ac:dyDescent="0.3">
      <c r="A107" s="1" t="s">
        <v>1787</v>
      </c>
      <c r="B107" s="6">
        <v>9500</v>
      </c>
    </row>
    <row r="108" spans="1:2" ht="15.75" x14ac:dyDescent="0.3">
      <c r="A108" s="1" t="s">
        <v>1791</v>
      </c>
      <c r="B108" s="6">
        <v>9500</v>
      </c>
    </row>
    <row r="109" spans="1:2" ht="15.75" x14ac:dyDescent="0.3">
      <c r="A109" s="1" t="s">
        <v>1792</v>
      </c>
      <c r="B109" s="6">
        <v>9500</v>
      </c>
    </row>
    <row r="110" spans="1:2" ht="15.75" x14ac:dyDescent="0.3">
      <c r="A110" s="1" t="s">
        <v>1792</v>
      </c>
      <c r="B110" s="6">
        <v>9500</v>
      </c>
    </row>
    <row r="111" spans="1:2" ht="15.75" x14ac:dyDescent="0.3">
      <c r="A111" s="1" t="s">
        <v>1795</v>
      </c>
      <c r="B111" s="6">
        <v>9500</v>
      </c>
    </row>
    <row r="112" spans="1:2" ht="15.75" x14ac:dyDescent="0.3">
      <c r="A112" s="1" t="s">
        <v>1796</v>
      </c>
      <c r="B112" s="6">
        <v>9500</v>
      </c>
    </row>
    <row r="113" spans="1:2" ht="15.75" x14ac:dyDescent="0.3">
      <c r="A113" s="1" t="s">
        <v>1797</v>
      </c>
      <c r="B113" s="6">
        <v>9500</v>
      </c>
    </row>
    <row r="114" spans="1:2" ht="15.75" x14ac:dyDescent="0.3">
      <c r="A114" s="1" t="s">
        <v>1806</v>
      </c>
      <c r="B114" s="6">
        <v>9500</v>
      </c>
    </row>
    <row r="115" spans="1:2" ht="15.75" x14ac:dyDescent="0.3">
      <c r="A115" s="1" t="s">
        <v>1812</v>
      </c>
      <c r="B115" s="6">
        <v>9500</v>
      </c>
    </row>
    <row r="116" spans="1:2" ht="15.75" x14ac:dyDescent="0.3">
      <c r="A116" s="1" t="s">
        <v>1816</v>
      </c>
      <c r="B116" s="6">
        <v>9500</v>
      </c>
    </row>
    <row r="117" spans="1:2" ht="15.75" x14ac:dyDescent="0.3">
      <c r="A117" s="1" t="s">
        <v>1825</v>
      </c>
      <c r="B117" s="6">
        <v>9500</v>
      </c>
    </row>
    <row r="118" spans="1:2" ht="15.75" x14ac:dyDescent="0.3">
      <c r="A118" s="1" t="s">
        <v>1825</v>
      </c>
      <c r="B118" s="6">
        <v>9500</v>
      </c>
    </row>
    <row r="119" spans="1:2" ht="15.75" x14ac:dyDescent="0.3">
      <c r="A119" s="1" t="s">
        <v>1830</v>
      </c>
      <c r="B119" s="6">
        <v>9500</v>
      </c>
    </row>
    <row r="120" spans="1:2" ht="15.75" x14ac:dyDescent="0.3">
      <c r="A120" s="1" t="s">
        <v>1844</v>
      </c>
      <c r="B120" s="6">
        <v>9500</v>
      </c>
    </row>
    <row r="121" spans="1:2" ht="15.75" x14ac:dyDescent="0.3">
      <c r="A121" s="1" t="s">
        <v>1848</v>
      </c>
      <c r="B121" s="6">
        <v>9500</v>
      </c>
    </row>
    <row r="122" spans="1:2" ht="15.75" x14ac:dyDescent="0.3">
      <c r="A122" s="1" t="s">
        <v>1850</v>
      </c>
      <c r="B122" s="6">
        <v>9500</v>
      </c>
    </row>
    <row r="123" spans="1:2" ht="15.75" x14ac:dyDescent="0.3">
      <c r="A123" s="1" t="s">
        <v>1850</v>
      </c>
      <c r="B123" s="6">
        <v>9500</v>
      </c>
    </row>
    <row r="124" spans="1:2" ht="15.75" x14ac:dyDescent="0.3">
      <c r="A124" s="1" t="s">
        <v>1850</v>
      </c>
      <c r="B124" s="6">
        <v>9500</v>
      </c>
    </row>
    <row r="125" spans="1:2" ht="15.75" x14ac:dyDescent="0.3">
      <c r="A125" s="1" t="s">
        <v>1851</v>
      </c>
      <c r="B125" s="6">
        <v>9500</v>
      </c>
    </row>
    <row r="126" spans="1:2" ht="15.75" x14ac:dyDescent="0.3">
      <c r="A126" s="1" t="s">
        <v>1886</v>
      </c>
      <c r="B126" s="6">
        <v>9500</v>
      </c>
    </row>
    <row r="127" spans="1:2" ht="15.75" x14ac:dyDescent="0.3">
      <c r="A127" s="1" t="s">
        <v>1903</v>
      </c>
      <c r="B127" s="6">
        <v>9500</v>
      </c>
    </row>
    <row r="128" spans="1:2" ht="15.75" x14ac:dyDescent="0.3">
      <c r="A128" s="1" t="s">
        <v>1904</v>
      </c>
      <c r="B128" s="6">
        <v>9500</v>
      </c>
    </row>
    <row r="129" spans="1:2" ht="15.75" x14ac:dyDescent="0.3">
      <c r="A129" s="1" t="s">
        <v>1905</v>
      </c>
      <c r="B129" s="6">
        <v>9500</v>
      </c>
    </row>
    <row r="130" spans="1:2" ht="15.75" x14ac:dyDescent="0.3">
      <c r="A130" s="1" t="s">
        <v>1548</v>
      </c>
      <c r="B130" s="6">
        <v>9497.6640579601208</v>
      </c>
    </row>
    <row r="131" spans="1:2" ht="15.75" x14ac:dyDescent="0.3">
      <c r="A131" s="1" t="s">
        <v>1902</v>
      </c>
      <c r="B131" s="6">
        <v>9487.1235244924701</v>
      </c>
    </row>
    <row r="132" spans="1:2" ht="15.75" x14ac:dyDescent="0.3">
      <c r="A132" s="1" t="s">
        <v>1908</v>
      </c>
      <c r="B132" s="6">
        <v>9475.2265321114992</v>
      </c>
    </row>
    <row r="133" spans="1:2" ht="15.75" x14ac:dyDescent="0.3">
      <c r="A133" s="1" t="s">
        <v>1476</v>
      </c>
      <c r="B133" s="6">
        <v>9389.9050222972492</v>
      </c>
    </row>
    <row r="134" spans="1:2" ht="15.75" x14ac:dyDescent="0.3">
      <c r="A134" s="1" t="s">
        <v>1802</v>
      </c>
      <c r="B134" s="6">
        <v>9370</v>
      </c>
    </row>
    <row r="135" spans="1:2" ht="15.75" x14ac:dyDescent="0.3">
      <c r="A135" s="1" t="s">
        <v>1725</v>
      </c>
      <c r="B135" s="6">
        <v>9357.6047552103901</v>
      </c>
    </row>
    <row r="136" spans="1:2" ht="15.75" x14ac:dyDescent="0.3">
      <c r="A136" s="1" t="s">
        <v>1553</v>
      </c>
      <c r="B136" s="6">
        <v>9164.4125319253599</v>
      </c>
    </row>
    <row r="137" spans="1:2" ht="15.75" x14ac:dyDescent="0.3">
      <c r="A137" s="1" t="s">
        <v>1645</v>
      </c>
      <c r="B137" s="6">
        <v>9063.5736026266095</v>
      </c>
    </row>
    <row r="138" spans="1:2" ht="15.75" x14ac:dyDescent="0.3">
      <c r="A138" s="1" t="s">
        <v>1493</v>
      </c>
      <c r="B138" s="6">
        <v>8846.8605197051202</v>
      </c>
    </row>
    <row r="139" spans="1:2" ht="15.75" x14ac:dyDescent="0.3">
      <c r="A139" s="1" t="s">
        <v>1766</v>
      </c>
      <c r="B139" s="6">
        <v>8786.5886832576198</v>
      </c>
    </row>
    <row r="140" spans="1:2" ht="15.75" x14ac:dyDescent="0.3">
      <c r="A140" s="1" t="s">
        <v>1686</v>
      </c>
      <c r="B140" s="6">
        <v>8758.8392130253997</v>
      </c>
    </row>
    <row r="141" spans="1:2" ht="15.75" x14ac:dyDescent="0.3">
      <c r="A141" s="1" t="s">
        <v>1785</v>
      </c>
      <c r="B141" s="6">
        <v>8746.9900549941704</v>
      </c>
    </row>
    <row r="142" spans="1:2" ht="15.75" x14ac:dyDescent="0.3">
      <c r="A142" s="1" t="s">
        <v>1651</v>
      </c>
      <c r="B142" s="6">
        <v>8700</v>
      </c>
    </row>
    <row r="143" spans="1:2" ht="15.75" x14ac:dyDescent="0.3">
      <c r="A143" s="1" t="s">
        <v>1624</v>
      </c>
      <c r="B143" s="6">
        <v>8500</v>
      </c>
    </row>
    <row r="144" spans="1:2" ht="15.75" x14ac:dyDescent="0.3">
      <c r="A144" s="1" t="s">
        <v>1912</v>
      </c>
      <c r="B144" s="6">
        <v>8500</v>
      </c>
    </row>
    <row r="145" spans="1:2" ht="15.75" x14ac:dyDescent="0.3">
      <c r="A145" s="1" t="s">
        <v>1756</v>
      </c>
      <c r="B145" s="6">
        <v>8477.6607156913797</v>
      </c>
    </row>
    <row r="146" spans="1:2" ht="15.75" x14ac:dyDescent="0.3">
      <c r="A146" s="1" t="s">
        <v>1673</v>
      </c>
      <c r="B146" s="6">
        <v>8469.1889982048706</v>
      </c>
    </row>
    <row r="147" spans="1:2" ht="15.75" x14ac:dyDescent="0.3">
      <c r="A147" s="1" t="s">
        <v>1487</v>
      </c>
      <c r="B147" s="6">
        <v>8326.3702513058906</v>
      </c>
    </row>
    <row r="148" spans="1:2" ht="15.75" x14ac:dyDescent="0.3">
      <c r="A148" s="1" t="s">
        <v>1729</v>
      </c>
      <c r="B148" s="6">
        <v>8304.3653221610493</v>
      </c>
    </row>
    <row r="149" spans="1:2" ht="15.75" x14ac:dyDescent="0.3">
      <c r="A149" s="1" t="s">
        <v>1639</v>
      </c>
      <c r="B149" s="6">
        <v>8230</v>
      </c>
    </row>
    <row r="150" spans="1:2" ht="15.75" x14ac:dyDescent="0.3">
      <c r="A150" s="1" t="s">
        <v>1667</v>
      </c>
      <c r="B150" s="6">
        <v>7600</v>
      </c>
    </row>
    <row r="151" spans="1:2" ht="15.75" x14ac:dyDescent="0.3">
      <c r="A151" s="1" t="s">
        <v>1782</v>
      </c>
      <c r="B151" s="6">
        <v>7600</v>
      </c>
    </row>
    <row r="152" spans="1:2" ht="15.75" x14ac:dyDescent="0.3">
      <c r="A152" s="1" t="s">
        <v>1581</v>
      </c>
      <c r="B152" s="6">
        <v>7500</v>
      </c>
    </row>
    <row r="153" spans="1:2" ht="15.75" x14ac:dyDescent="0.3">
      <c r="A153" s="1" t="s">
        <v>1614</v>
      </c>
      <c r="B153" s="6">
        <v>7500</v>
      </c>
    </row>
    <row r="154" spans="1:2" ht="15.75" x14ac:dyDescent="0.3">
      <c r="A154" s="1" t="s">
        <v>1648</v>
      </c>
      <c r="B154" s="6">
        <v>7500</v>
      </c>
    </row>
    <row r="155" spans="1:2" ht="15.75" x14ac:dyDescent="0.3">
      <c r="A155" s="1" t="s">
        <v>1668</v>
      </c>
      <c r="B155" s="6">
        <v>7500</v>
      </c>
    </row>
    <row r="156" spans="1:2" ht="15.75" x14ac:dyDescent="0.3">
      <c r="A156" s="1" t="s">
        <v>1815</v>
      </c>
      <c r="B156" s="6">
        <v>7500</v>
      </c>
    </row>
    <row r="157" spans="1:2" ht="15.75" x14ac:dyDescent="0.3">
      <c r="A157" s="1" t="s">
        <v>1525</v>
      </c>
      <c r="B157" s="6">
        <v>7400</v>
      </c>
    </row>
    <row r="158" spans="1:2" ht="15.75" x14ac:dyDescent="0.3">
      <c r="A158" s="1" t="s">
        <v>1771</v>
      </c>
      <c r="B158" s="6">
        <v>7379.4751912537204</v>
      </c>
    </row>
    <row r="159" spans="1:2" ht="15.75" x14ac:dyDescent="0.3">
      <c r="A159" s="1" t="s">
        <v>1778</v>
      </c>
      <c r="B159" s="6">
        <v>7300</v>
      </c>
    </row>
    <row r="160" spans="1:2" ht="15.75" x14ac:dyDescent="0.3">
      <c r="A160" s="1" t="s">
        <v>1742</v>
      </c>
      <c r="B160" s="6">
        <v>7119.9580914626404</v>
      </c>
    </row>
    <row r="161" spans="1:2" ht="15.75" x14ac:dyDescent="0.3">
      <c r="A161" s="1" t="s">
        <v>1590</v>
      </c>
      <c r="B161" s="6">
        <v>7097.8406167323101</v>
      </c>
    </row>
    <row r="162" spans="1:2" ht="15.75" x14ac:dyDescent="0.3">
      <c r="A162" s="1" t="s">
        <v>1822</v>
      </c>
      <c r="B162" s="6">
        <v>6989.9171180343901</v>
      </c>
    </row>
    <row r="163" spans="1:2" ht="15.75" x14ac:dyDescent="0.3">
      <c r="A163" s="1" t="s">
        <v>1566</v>
      </c>
      <c r="B163" s="6">
        <v>6851.2632038280199</v>
      </c>
    </row>
    <row r="164" spans="1:2" ht="15.75" x14ac:dyDescent="0.3">
      <c r="A164" s="1" t="s">
        <v>1663</v>
      </c>
      <c r="B164" s="6">
        <v>6708.7920139287598</v>
      </c>
    </row>
    <row r="165" spans="1:2" ht="15.75" x14ac:dyDescent="0.3">
      <c r="A165" s="1" t="s">
        <v>1760</v>
      </c>
      <c r="B165" s="6">
        <v>6540</v>
      </c>
    </row>
    <row r="166" spans="1:2" ht="15.75" x14ac:dyDescent="0.3">
      <c r="A166" s="1" t="s">
        <v>1847</v>
      </c>
      <c r="B166" s="6">
        <v>6514.7905032278204</v>
      </c>
    </row>
    <row r="167" spans="1:2" ht="15.75" x14ac:dyDescent="0.3">
      <c r="A167" s="1" t="s">
        <v>1805</v>
      </c>
      <c r="B167" s="6">
        <v>6465.7289434037602</v>
      </c>
    </row>
    <row r="168" spans="1:2" ht="15.75" x14ac:dyDescent="0.3">
      <c r="A168" s="1" t="s">
        <v>1570</v>
      </c>
      <c r="B168" s="6">
        <v>6400.49730467064</v>
      </c>
    </row>
    <row r="169" spans="1:2" ht="15.75" x14ac:dyDescent="0.3">
      <c r="A169" s="1" t="s">
        <v>1666</v>
      </c>
      <c r="B169" s="6">
        <v>6318.79431730546</v>
      </c>
    </row>
    <row r="170" spans="1:2" ht="15.75" x14ac:dyDescent="0.3">
      <c r="A170" s="1" t="s">
        <v>1838</v>
      </c>
      <c r="B170" s="6">
        <v>6300</v>
      </c>
    </row>
    <row r="171" spans="1:2" ht="15.75" x14ac:dyDescent="0.3">
      <c r="A171" s="1" t="s">
        <v>1604</v>
      </c>
      <c r="B171" s="6">
        <v>6273.8918029696097</v>
      </c>
    </row>
    <row r="172" spans="1:2" ht="15.75" x14ac:dyDescent="0.3">
      <c r="A172" s="1" t="s">
        <v>1800</v>
      </c>
      <c r="B172" s="6">
        <v>6190.0231423895402</v>
      </c>
    </row>
    <row r="173" spans="1:2" ht="15.75" x14ac:dyDescent="0.3">
      <c r="A173" s="1" t="s">
        <v>1831</v>
      </c>
      <c r="B173" s="6">
        <v>6163.97775606916</v>
      </c>
    </row>
    <row r="174" spans="1:2" ht="15.75" x14ac:dyDescent="0.3">
      <c r="A174" s="1" t="s">
        <v>1662</v>
      </c>
      <c r="B174" s="6">
        <v>6075.4086339712203</v>
      </c>
    </row>
    <row r="175" spans="1:2" ht="15.75" x14ac:dyDescent="0.3">
      <c r="A175" s="1" t="s">
        <v>1857</v>
      </c>
      <c r="B175" s="6">
        <v>6063.3841775421897</v>
      </c>
    </row>
    <row r="176" spans="1:2" ht="15.75" x14ac:dyDescent="0.3">
      <c r="A176" s="1" t="s">
        <v>1539</v>
      </c>
      <c r="B176" s="6">
        <v>6000</v>
      </c>
    </row>
    <row r="177" spans="1:2" ht="15.75" x14ac:dyDescent="0.3">
      <c r="A177" s="1" t="s">
        <v>1741</v>
      </c>
      <c r="B177" s="6">
        <v>5728.3587570766304</v>
      </c>
    </row>
    <row r="178" spans="1:2" ht="15.75" x14ac:dyDescent="0.3">
      <c r="A178" s="1" t="s">
        <v>1530</v>
      </c>
      <c r="B178" s="6">
        <v>5614.7168288129496</v>
      </c>
    </row>
    <row r="179" spans="1:2" ht="15.75" x14ac:dyDescent="0.3">
      <c r="A179" s="1" t="s">
        <v>1530</v>
      </c>
      <c r="B179" s="6">
        <v>5614.7168288129496</v>
      </c>
    </row>
    <row r="180" spans="1:2" ht="15.75" x14ac:dyDescent="0.3">
      <c r="A180" s="1" t="s">
        <v>1538</v>
      </c>
      <c r="B180" s="6">
        <v>5600</v>
      </c>
    </row>
    <row r="181" spans="1:2" ht="15.75" x14ac:dyDescent="0.3">
      <c r="A181" s="1" t="s">
        <v>1472</v>
      </c>
      <c r="B181" s="6">
        <v>5512.8263999426299</v>
      </c>
    </row>
    <row r="182" spans="1:2" ht="15.75" x14ac:dyDescent="0.3">
      <c r="A182" s="1" t="s">
        <v>1595</v>
      </c>
      <c r="B182" s="6">
        <v>5400</v>
      </c>
    </row>
    <row r="183" spans="1:2" ht="15.75" x14ac:dyDescent="0.3">
      <c r="A183" s="1" t="s">
        <v>1836</v>
      </c>
      <c r="B183" s="6">
        <v>5400</v>
      </c>
    </row>
    <row r="184" spans="1:2" ht="15.75" x14ac:dyDescent="0.3">
      <c r="A184" s="1" t="s">
        <v>1623</v>
      </c>
      <c r="B184" s="6">
        <v>5300</v>
      </c>
    </row>
    <row r="185" spans="1:2" ht="15.75" x14ac:dyDescent="0.3">
      <c r="A185" s="1" t="s">
        <v>1495</v>
      </c>
      <c r="B185" s="6">
        <v>5261.0190876246797</v>
      </c>
    </row>
    <row r="186" spans="1:2" ht="15.75" x14ac:dyDescent="0.3">
      <c r="A186" s="1" t="s">
        <v>1679</v>
      </c>
      <c r="B186" s="6">
        <v>5239.2522577125101</v>
      </c>
    </row>
    <row r="187" spans="1:2" ht="15.75" x14ac:dyDescent="0.3">
      <c r="A187" s="1" t="s">
        <v>1718</v>
      </c>
      <c r="B187" s="6">
        <v>5163.5156268235496</v>
      </c>
    </row>
    <row r="188" spans="1:2" ht="15.75" x14ac:dyDescent="0.3">
      <c r="A188" s="1" t="s">
        <v>1635</v>
      </c>
      <c r="B188" s="6">
        <v>5148.6223896095498</v>
      </c>
    </row>
    <row r="189" spans="1:2" ht="15.75" x14ac:dyDescent="0.3">
      <c r="A189" s="1" t="s">
        <v>1895</v>
      </c>
      <c r="B189" s="6">
        <v>5096.5701893169598</v>
      </c>
    </row>
    <row r="190" spans="1:2" ht="15.75" x14ac:dyDescent="0.3">
      <c r="A190" s="1" t="s">
        <v>44</v>
      </c>
      <c r="B190" s="6">
        <v>5000</v>
      </c>
    </row>
    <row r="191" spans="1:2" ht="15.75" x14ac:dyDescent="0.3">
      <c r="A191" s="1" t="s">
        <v>1849</v>
      </c>
      <c r="B191" s="6">
        <v>4963.4252764708399</v>
      </c>
    </row>
    <row r="192" spans="1:2" ht="15.75" x14ac:dyDescent="0.3">
      <c r="A192" s="1" t="s">
        <v>1773</v>
      </c>
      <c r="B192" s="6">
        <v>4792.56563771321</v>
      </c>
    </row>
    <row r="193" spans="1:2" ht="15.75" x14ac:dyDescent="0.3">
      <c r="A193" s="1" t="s">
        <v>1502</v>
      </c>
      <c r="B193" s="6">
        <v>4781.1190331909002</v>
      </c>
    </row>
    <row r="194" spans="1:2" ht="15.75" x14ac:dyDescent="0.3">
      <c r="A194" s="1" t="s">
        <v>1615</v>
      </c>
      <c r="B194" s="6">
        <v>4766.3312088702296</v>
      </c>
    </row>
    <row r="195" spans="1:2" ht="15.75" x14ac:dyDescent="0.3">
      <c r="A195" s="1" t="s">
        <v>1531</v>
      </c>
      <c r="B195" s="6">
        <v>4671.3122754826099</v>
      </c>
    </row>
    <row r="196" spans="1:2" ht="15.75" x14ac:dyDescent="0.3">
      <c r="A196" s="1" t="s">
        <v>1655</v>
      </c>
      <c r="B196" s="6">
        <v>4410.8742035303403</v>
      </c>
    </row>
    <row r="197" spans="1:2" ht="15.75" x14ac:dyDescent="0.3">
      <c r="A197" s="1" t="s">
        <v>1605</v>
      </c>
      <c r="B197" s="6">
        <v>4356.8076140807198</v>
      </c>
    </row>
    <row r="198" spans="1:2" ht="15.75" x14ac:dyDescent="0.3">
      <c r="A198" s="1" t="s">
        <v>1768</v>
      </c>
      <c r="B198" s="6">
        <v>4211.7216071495504</v>
      </c>
    </row>
    <row r="199" spans="1:2" ht="15.75" x14ac:dyDescent="0.3">
      <c r="A199" s="1" t="s">
        <v>1486</v>
      </c>
      <c r="B199" s="6">
        <v>4148.4602702345501</v>
      </c>
    </row>
    <row r="200" spans="1:2" ht="15.75" x14ac:dyDescent="0.3">
      <c r="A200" s="1" t="s">
        <v>1616</v>
      </c>
      <c r="B200" s="6">
        <v>4000</v>
      </c>
    </row>
    <row r="201" spans="1:2" ht="15.75" x14ac:dyDescent="0.3">
      <c r="A201" s="1" t="s">
        <v>1697</v>
      </c>
      <c r="B201" s="6">
        <v>3760</v>
      </c>
    </row>
    <row r="202" spans="1:2" ht="15.75" x14ac:dyDescent="0.3">
      <c r="A202" s="1" t="s">
        <v>1504</v>
      </c>
      <c r="B202" s="6">
        <v>3595.7813250254299</v>
      </c>
    </row>
    <row r="203" spans="1:2" ht="15.75" x14ac:dyDescent="0.3">
      <c r="A203" s="1" t="s">
        <v>1552</v>
      </c>
      <c r="B203" s="6">
        <v>3200</v>
      </c>
    </row>
    <row r="204" spans="1:2" ht="15.75" x14ac:dyDescent="0.3">
      <c r="A204" s="1" t="s">
        <v>1841</v>
      </c>
      <c r="B204" s="6">
        <v>3103.0946472095602</v>
      </c>
    </row>
    <row r="205" spans="1:2" ht="15.75" x14ac:dyDescent="0.3">
      <c r="A205" s="1" t="s">
        <v>1528</v>
      </c>
      <c r="B205" s="6">
        <v>2910</v>
      </c>
    </row>
    <row r="206" spans="1:2" ht="15.75" x14ac:dyDescent="0.3">
      <c r="A206" s="1" t="s">
        <v>1819</v>
      </c>
      <c r="B206" s="6">
        <v>2903.4006600949201</v>
      </c>
    </row>
    <row r="207" spans="1:2" ht="15.75" x14ac:dyDescent="0.3">
      <c r="A207" s="1" t="s">
        <v>1507</v>
      </c>
      <c r="B207" s="6">
        <v>2891.54626529602</v>
      </c>
    </row>
    <row r="208" spans="1:2" ht="15.75" x14ac:dyDescent="0.3">
      <c r="A208" s="1" t="s">
        <v>1653</v>
      </c>
      <c r="B208" s="6">
        <v>2855.0579108358902</v>
      </c>
    </row>
    <row r="209" spans="1:2" ht="15.75" x14ac:dyDescent="0.3">
      <c r="A209" s="1" t="s">
        <v>1801</v>
      </c>
      <c r="B209" s="6">
        <v>2724.84817491801</v>
      </c>
    </row>
    <row r="210" spans="1:2" ht="15.75" x14ac:dyDescent="0.3">
      <c r="A210" s="1" t="s">
        <v>1638</v>
      </c>
      <c r="B210" s="6">
        <v>2711.3178299134702</v>
      </c>
    </row>
    <row r="211" spans="1:2" ht="15.75" x14ac:dyDescent="0.3">
      <c r="A211" s="1" t="s">
        <v>1630</v>
      </c>
      <c r="B211" s="6">
        <v>2700</v>
      </c>
    </row>
    <row r="212" spans="1:2" ht="15.75" x14ac:dyDescent="0.3">
      <c r="A212" s="1" t="s">
        <v>1644</v>
      </c>
      <c r="B212" s="6">
        <v>2637.4090115506601</v>
      </c>
    </row>
    <row r="213" spans="1:2" ht="15.75" x14ac:dyDescent="0.3">
      <c r="A213" s="1" t="s">
        <v>1861</v>
      </c>
      <c r="B213" s="6">
        <v>2568.5583578583201</v>
      </c>
    </row>
    <row r="214" spans="1:2" ht="15.75" x14ac:dyDescent="0.3">
      <c r="A214" s="1" t="s">
        <v>1829</v>
      </c>
      <c r="B214" s="6">
        <v>2500.9726636466798</v>
      </c>
    </row>
    <row r="215" spans="1:2" ht="15.75" x14ac:dyDescent="0.3">
      <c r="A215" s="1" t="s">
        <v>1483</v>
      </c>
      <c r="B215" s="6">
        <v>2500</v>
      </c>
    </row>
    <row r="216" spans="1:2" ht="15.75" x14ac:dyDescent="0.3">
      <c r="A216" s="1" t="s">
        <v>1835</v>
      </c>
      <c r="B216" s="6">
        <v>2500</v>
      </c>
    </row>
    <row r="217" spans="1:2" ht="15.75" x14ac:dyDescent="0.3">
      <c r="A217" s="1" t="s">
        <v>1751</v>
      </c>
      <c r="B217" s="6">
        <v>2368.6366242868098</v>
      </c>
    </row>
    <row r="218" spans="1:2" ht="15.75" x14ac:dyDescent="0.3">
      <c r="A218" s="1" t="s">
        <v>1588</v>
      </c>
      <c r="B218" s="6">
        <v>2322.9565305414499</v>
      </c>
    </row>
    <row r="219" spans="1:2" ht="15.75" x14ac:dyDescent="0.3">
      <c r="A219" s="1" t="s">
        <v>1776</v>
      </c>
      <c r="B219" s="6">
        <v>2282.4949048252702</v>
      </c>
    </row>
    <row r="220" spans="1:2" ht="15.75" x14ac:dyDescent="0.3">
      <c r="A220" s="1" t="s">
        <v>1735</v>
      </c>
      <c r="B220" s="6">
        <v>2189.0701284622</v>
      </c>
    </row>
    <row r="221" spans="1:2" ht="15.75" x14ac:dyDescent="0.3">
      <c r="A221" s="1" t="s">
        <v>1719</v>
      </c>
      <c r="B221" s="6">
        <v>2091.4132798554401</v>
      </c>
    </row>
    <row r="222" spans="1:2" ht="15.75" x14ac:dyDescent="0.3">
      <c r="A222" s="1" t="s">
        <v>1892</v>
      </c>
      <c r="B222" s="6">
        <v>1928</v>
      </c>
    </row>
    <row r="223" spans="1:2" ht="15.75" x14ac:dyDescent="0.3">
      <c r="A223" s="1" t="s">
        <v>1593</v>
      </c>
      <c r="B223" s="6">
        <v>1780</v>
      </c>
    </row>
    <row r="224" spans="1:2" ht="15.75" x14ac:dyDescent="0.3">
      <c r="A224" s="1" t="s">
        <v>1567</v>
      </c>
      <c r="B224" s="6">
        <v>1759.7296563785601</v>
      </c>
    </row>
    <row r="225" spans="1:2" ht="15.75" x14ac:dyDescent="0.3">
      <c r="A225" s="1" t="s">
        <v>1755</v>
      </c>
      <c r="B225" s="6">
        <v>1737.93385616602</v>
      </c>
    </row>
    <row r="226" spans="1:2" ht="15.75" x14ac:dyDescent="0.3">
      <c r="A226" s="1" t="s">
        <v>1781</v>
      </c>
      <c r="B226" s="6">
        <v>1721.9062905217099</v>
      </c>
    </row>
    <row r="227" spans="1:2" ht="15.75" x14ac:dyDescent="0.3">
      <c r="A227" s="1" t="s">
        <v>1479</v>
      </c>
      <c r="B227" s="6">
        <v>1700</v>
      </c>
    </row>
    <row r="228" spans="1:2" ht="15.75" x14ac:dyDescent="0.3">
      <c r="A228" s="1" t="s">
        <v>1775</v>
      </c>
      <c r="B228" s="6">
        <v>1678.0982450407901</v>
      </c>
    </row>
    <row r="229" spans="1:2" ht="15.75" x14ac:dyDescent="0.3">
      <c r="A229" s="1" t="s">
        <v>1661</v>
      </c>
      <c r="B229" s="6">
        <v>1568.60559764608</v>
      </c>
    </row>
    <row r="230" spans="1:2" ht="15.75" x14ac:dyDescent="0.3">
      <c r="A230" s="1" t="s">
        <v>1907</v>
      </c>
      <c r="B230" s="6">
        <v>1513.3436847289099</v>
      </c>
    </row>
    <row r="231" spans="1:2" ht="15.75" x14ac:dyDescent="0.3">
      <c r="A231" s="1" t="s">
        <v>1478</v>
      </c>
      <c r="B231" s="6">
        <v>1500</v>
      </c>
    </row>
    <row r="232" spans="1:2" ht="15.75" x14ac:dyDescent="0.3">
      <c r="A232" s="1" t="s">
        <v>1489</v>
      </c>
      <c r="B232" s="6">
        <v>1500</v>
      </c>
    </row>
    <row r="233" spans="1:2" ht="15.75" x14ac:dyDescent="0.3">
      <c r="A233" s="1" t="s">
        <v>1492</v>
      </c>
      <c r="B233" s="6">
        <v>1500</v>
      </c>
    </row>
    <row r="234" spans="1:2" ht="15.75" x14ac:dyDescent="0.3">
      <c r="A234" s="1" t="s">
        <v>21</v>
      </c>
      <c r="B234" s="6">
        <v>1500</v>
      </c>
    </row>
    <row r="235" spans="1:2" ht="15.75" x14ac:dyDescent="0.3">
      <c r="A235" s="1" t="s">
        <v>29</v>
      </c>
      <c r="B235" s="6">
        <v>1500</v>
      </c>
    </row>
    <row r="236" spans="1:2" ht="15.75" x14ac:dyDescent="0.3">
      <c r="A236" s="1" t="s">
        <v>29</v>
      </c>
      <c r="B236" s="6">
        <v>1500</v>
      </c>
    </row>
    <row r="237" spans="1:2" ht="15.75" x14ac:dyDescent="0.3">
      <c r="A237" s="1" t="s">
        <v>1497</v>
      </c>
      <c r="B237" s="6">
        <v>1500</v>
      </c>
    </row>
    <row r="238" spans="1:2" ht="15.75" x14ac:dyDescent="0.3">
      <c r="A238" s="1" t="s">
        <v>1498</v>
      </c>
      <c r="B238" s="6">
        <v>1500</v>
      </c>
    </row>
    <row r="239" spans="1:2" ht="15.75" x14ac:dyDescent="0.3">
      <c r="A239" s="1" t="s">
        <v>1500</v>
      </c>
      <c r="B239" s="6">
        <v>1500</v>
      </c>
    </row>
    <row r="240" spans="1:2" ht="15.75" x14ac:dyDescent="0.3">
      <c r="A240" s="1" t="s">
        <v>1501</v>
      </c>
      <c r="B240" s="6">
        <v>1500</v>
      </c>
    </row>
    <row r="241" spans="1:2" ht="15.75" x14ac:dyDescent="0.3">
      <c r="A241" s="1" t="s">
        <v>1501</v>
      </c>
      <c r="B241" s="6">
        <v>1500</v>
      </c>
    </row>
    <row r="242" spans="1:2" ht="15.75" x14ac:dyDescent="0.3">
      <c r="A242" s="1" t="s">
        <v>1505</v>
      </c>
      <c r="B242" s="6">
        <v>1500</v>
      </c>
    </row>
    <row r="243" spans="1:2" ht="15.75" x14ac:dyDescent="0.3">
      <c r="A243" s="1" t="s">
        <v>1506</v>
      </c>
      <c r="B243" s="6">
        <v>1500</v>
      </c>
    </row>
    <row r="244" spans="1:2" ht="15.75" x14ac:dyDescent="0.3">
      <c r="A244" s="1" t="s">
        <v>1509</v>
      </c>
      <c r="B244" s="6">
        <v>1500</v>
      </c>
    </row>
    <row r="245" spans="1:2" ht="15.75" x14ac:dyDescent="0.3">
      <c r="A245" s="1" t="s">
        <v>1512</v>
      </c>
      <c r="B245" s="6">
        <v>1500</v>
      </c>
    </row>
    <row r="246" spans="1:2" ht="15.75" x14ac:dyDescent="0.3">
      <c r="A246" s="1" t="s">
        <v>1513</v>
      </c>
      <c r="B246" s="6">
        <v>1500</v>
      </c>
    </row>
    <row r="247" spans="1:2" ht="15.75" x14ac:dyDescent="0.3">
      <c r="A247" s="1" t="s">
        <v>1515</v>
      </c>
      <c r="B247" s="6">
        <v>1500</v>
      </c>
    </row>
    <row r="248" spans="1:2" ht="15.75" x14ac:dyDescent="0.3">
      <c r="A248" s="1" t="s">
        <v>1517</v>
      </c>
      <c r="B248" s="6">
        <v>1500</v>
      </c>
    </row>
    <row r="249" spans="1:2" ht="15.75" x14ac:dyDescent="0.3">
      <c r="A249" s="1" t="s">
        <v>1521</v>
      </c>
      <c r="B249" s="6">
        <v>1500</v>
      </c>
    </row>
    <row r="250" spans="1:2" ht="15.75" x14ac:dyDescent="0.3">
      <c r="A250" s="1" t="s">
        <v>1522</v>
      </c>
      <c r="B250" s="6">
        <v>1500</v>
      </c>
    </row>
    <row r="251" spans="1:2" ht="15.75" x14ac:dyDescent="0.3">
      <c r="A251" s="1" t="s">
        <v>1527</v>
      </c>
      <c r="B251" s="6">
        <v>1500</v>
      </c>
    </row>
    <row r="252" spans="1:2" ht="15.75" x14ac:dyDescent="0.3">
      <c r="A252" s="1" t="s">
        <v>1529</v>
      </c>
      <c r="B252" s="6">
        <v>1500</v>
      </c>
    </row>
    <row r="253" spans="1:2" ht="15.75" x14ac:dyDescent="0.3">
      <c r="A253" s="1" t="s">
        <v>1533</v>
      </c>
      <c r="B253" s="6">
        <v>1500</v>
      </c>
    </row>
    <row r="254" spans="1:2" ht="15.75" x14ac:dyDescent="0.3">
      <c r="A254" s="1" t="s">
        <v>1540</v>
      </c>
      <c r="B254" s="6">
        <v>1500</v>
      </c>
    </row>
    <row r="255" spans="1:2" ht="15.75" x14ac:dyDescent="0.3">
      <c r="A255" s="1" t="s">
        <v>1546</v>
      </c>
      <c r="B255" s="6">
        <v>1500</v>
      </c>
    </row>
    <row r="256" spans="1:2" ht="15.75" x14ac:dyDescent="0.3">
      <c r="A256" s="1" t="s">
        <v>1558</v>
      </c>
      <c r="B256" s="6">
        <v>1500</v>
      </c>
    </row>
    <row r="257" spans="1:2" ht="15.75" x14ac:dyDescent="0.3">
      <c r="A257" s="1" t="s">
        <v>1568</v>
      </c>
      <c r="B257" s="6">
        <v>1500</v>
      </c>
    </row>
    <row r="258" spans="1:2" ht="15.75" x14ac:dyDescent="0.3">
      <c r="A258" s="1" t="s">
        <v>1573</v>
      </c>
      <c r="B258" s="6">
        <v>1500</v>
      </c>
    </row>
    <row r="259" spans="1:2" ht="15.75" x14ac:dyDescent="0.3">
      <c r="A259" s="1" t="s">
        <v>1574</v>
      </c>
      <c r="B259" s="6">
        <v>1500</v>
      </c>
    </row>
    <row r="260" spans="1:2" ht="15.75" x14ac:dyDescent="0.3">
      <c r="A260" s="1" t="s">
        <v>1574</v>
      </c>
      <c r="B260" s="6">
        <v>1500</v>
      </c>
    </row>
    <row r="261" spans="1:2" ht="15.75" x14ac:dyDescent="0.3">
      <c r="A261" s="1" t="s">
        <v>1575</v>
      </c>
      <c r="B261" s="6">
        <v>1500</v>
      </c>
    </row>
    <row r="262" spans="1:2" ht="15.75" x14ac:dyDescent="0.3">
      <c r="A262" s="1" t="s">
        <v>1589</v>
      </c>
      <c r="B262" s="6">
        <v>1500</v>
      </c>
    </row>
    <row r="263" spans="1:2" ht="15.75" x14ac:dyDescent="0.3">
      <c r="A263" s="1" t="s">
        <v>1594</v>
      </c>
      <c r="B263" s="6">
        <v>1500</v>
      </c>
    </row>
    <row r="264" spans="1:2" ht="15.75" x14ac:dyDescent="0.3">
      <c r="A264" s="1" t="s">
        <v>1599</v>
      </c>
      <c r="B264" s="6">
        <v>1500</v>
      </c>
    </row>
    <row r="265" spans="1:2" ht="15.75" x14ac:dyDescent="0.3">
      <c r="A265" s="1" t="s">
        <v>1600</v>
      </c>
      <c r="B265" s="6">
        <v>1500</v>
      </c>
    </row>
    <row r="266" spans="1:2" ht="15.75" x14ac:dyDescent="0.3">
      <c r="A266" s="1" t="s">
        <v>1603</v>
      </c>
      <c r="B266" s="6">
        <v>1500</v>
      </c>
    </row>
    <row r="267" spans="1:2" ht="15.75" x14ac:dyDescent="0.3">
      <c r="A267" s="1" t="s">
        <v>1606</v>
      </c>
      <c r="B267" s="6">
        <v>1500</v>
      </c>
    </row>
    <row r="268" spans="1:2" ht="15.75" x14ac:dyDescent="0.3">
      <c r="A268" s="1" t="s">
        <v>1617</v>
      </c>
      <c r="B268" s="6">
        <v>1500</v>
      </c>
    </row>
    <row r="269" spans="1:2" ht="15.75" x14ac:dyDescent="0.3">
      <c r="A269" s="1" t="s">
        <v>1621</v>
      </c>
      <c r="B269" s="6">
        <v>1500</v>
      </c>
    </row>
    <row r="270" spans="1:2" ht="15.75" x14ac:dyDescent="0.3">
      <c r="A270" s="1" t="s">
        <v>1625</v>
      </c>
      <c r="B270" s="6">
        <v>1500</v>
      </c>
    </row>
    <row r="271" spans="1:2" ht="15.75" x14ac:dyDescent="0.3">
      <c r="A271" s="1" t="s">
        <v>1633</v>
      </c>
      <c r="B271" s="6">
        <v>1500</v>
      </c>
    </row>
    <row r="272" spans="1:2" ht="15.75" x14ac:dyDescent="0.3">
      <c r="A272" s="1" t="s">
        <v>1642</v>
      </c>
      <c r="B272" s="6">
        <v>1500</v>
      </c>
    </row>
    <row r="273" spans="1:2" ht="15.75" x14ac:dyDescent="0.3">
      <c r="A273" s="1" t="s">
        <v>1647</v>
      </c>
      <c r="B273" s="6">
        <v>1500</v>
      </c>
    </row>
    <row r="274" spans="1:2" ht="15.75" x14ac:dyDescent="0.3">
      <c r="A274" s="1" t="s">
        <v>1649</v>
      </c>
      <c r="B274" s="6">
        <v>1500</v>
      </c>
    </row>
    <row r="275" spans="1:2" ht="15.75" x14ac:dyDescent="0.3">
      <c r="A275" s="1" t="s">
        <v>1654</v>
      </c>
      <c r="B275" s="6">
        <v>1500</v>
      </c>
    </row>
    <row r="276" spans="1:2" ht="15.75" x14ac:dyDescent="0.3">
      <c r="A276" s="1" t="s">
        <v>1664</v>
      </c>
      <c r="B276" s="6">
        <v>1500</v>
      </c>
    </row>
    <row r="277" spans="1:2" ht="15.75" x14ac:dyDescent="0.3">
      <c r="A277" s="1" t="s">
        <v>1676</v>
      </c>
      <c r="B277" s="6">
        <v>1500</v>
      </c>
    </row>
    <row r="278" spans="1:2" ht="15.75" x14ac:dyDescent="0.3">
      <c r="A278" s="1" t="s">
        <v>1677</v>
      </c>
      <c r="B278" s="6">
        <v>1500</v>
      </c>
    </row>
    <row r="279" spans="1:2" ht="15.75" x14ac:dyDescent="0.3">
      <c r="A279" s="1" t="s">
        <v>1685</v>
      </c>
      <c r="B279" s="6">
        <v>1500</v>
      </c>
    </row>
    <row r="280" spans="1:2" ht="15.75" x14ac:dyDescent="0.3">
      <c r="A280" s="1" t="s">
        <v>1693</v>
      </c>
      <c r="B280" s="6">
        <v>1500</v>
      </c>
    </row>
    <row r="281" spans="1:2" ht="15.75" x14ac:dyDescent="0.3">
      <c r="A281" s="1" t="s">
        <v>1695</v>
      </c>
      <c r="B281" s="6">
        <v>1500</v>
      </c>
    </row>
    <row r="282" spans="1:2" ht="15.75" x14ac:dyDescent="0.3">
      <c r="A282" s="1" t="s">
        <v>1695</v>
      </c>
      <c r="B282" s="6">
        <v>1500</v>
      </c>
    </row>
    <row r="283" spans="1:2" ht="15.75" x14ac:dyDescent="0.3">
      <c r="A283" s="1" t="s">
        <v>1698</v>
      </c>
      <c r="B283" s="6">
        <v>1500</v>
      </c>
    </row>
    <row r="284" spans="1:2" ht="15.75" x14ac:dyDescent="0.3">
      <c r="A284" s="1" t="s">
        <v>1699</v>
      </c>
      <c r="B284" s="6">
        <v>1500</v>
      </c>
    </row>
    <row r="285" spans="1:2" ht="15.75" x14ac:dyDescent="0.3">
      <c r="A285" s="1" t="s">
        <v>1701</v>
      </c>
      <c r="B285" s="6">
        <v>1500</v>
      </c>
    </row>
    <row r="286" spans="1:2" ht="15.75" x14ac:dyDescent="0.3">
      <c r="A286" s="1" t="s">
        <v>1702</v>
      </c>
      <c r="B286" s="6">
        <v>1500</v>
      </c>
    </row>
    <row r="287" spans="1:2" ht="15.75" x14ac:dyDescent="0.3">
      <c r="A287" s="1" t="s">
        <v>1707</v>
      </c>
      <c r="B287" s="6">
        <v>1500</v>
      </c>
    </row>
    <row r="288" spans="1:2" ht="15.75" x14ac:dyDescent="0.3">
      <c r="A288" s="1" t="s">
        <v>1713</v>
      </c>
      <c r="B288" s="6">
        <v>1500</v>
      </c>
    </row>
    <row r="289" spans="1:2" ht="15.75" x14ac:dyDescent="0.3">
      <c r="A289" s="1" t="s">
        <v>1722</v>
      </c>
      <c r="B289" s="6">
        <v>1500</v>
      </c>
    </row>
    <row r="290" spans="1:2" ht="15.75" x14ac:dyDescent="0.3">
      <c r="A290" s="1" t="s">
        <v>1723</v>
      </c>
      <c r="B290" s="6">
        <v>1500</v>
      </c>
    </row>
    <row r="291" spans="1:2" ht="15.75" x14ac:dyDescent="0.3">
      <c r="A291" s="1" t="s">
        <v>1728</v>
      </c>
      <c r="B291" s="6">
        <v>1500</v>
      </c>
    </row>
    <row r="292" spans="1:2" ht="15.75" x14ac:dyDescent="0.3">
      <c r="A292" s="1" t="s">
        <v>1730</v>
      </c>
      <c r="B292" s="6">
        <v>1500</v>
      </c>
    </row>
    <row r="293" spans="1:2" ht="15.75" x14ac:dyDescent="0.3">
      <c r="A293" s="1" t="s">
        <v>1732</v>
      </c>
      <c r="B293" s="6">
        <v>1500</v>
      </c>
    </row>
    <row r="294" spans="1:2" ht="15.75" x14ac:dyDescent="0.3">
      <c r="A294" s="1" t="s">
        <v>1732</v>
      </c>
      <c r="B294" s="6">
        <v>1500</v>
      </c>
    </row>
    <row r="295" spans="1:2" ht="15.75" x14ac:dyDescent="0.3">
      <c r="A295" s="1" t="s">
        <v>1733</v>
      </c>
      <c r="B295" s="6">
        <v>1500</v>
      </c>
    </row>
    <row r="296" spans="1:2" ht="15.75" x14ac:dyDescent="0.3">
      <c r="A296" s="1" t="s">
        <v>1733</v>
      </c>
      <c r="B296" s="6">
        <v>1500</v>
      </c>
    </row>
    <row r="297" spans="1:2" ht="15.75" x14ac:dyDescent="0.3">
      <c r="A297" s="1" t="s">
        <v>1738</v>
      </c>
      <c r="B297" s="6">
        <v>1500</v>
      </c>
    </row>
    <row r="298" spans="1:2" ht="15.75" x14ac:dyDescent="0.3">
      <c r="A298" s="1" t="s">
        <v>1746</v>
      </c>
      <c r="B298" s="6">
        <v>1500</v>
      </c>
    </row>
    <row r="299" spans="1:2" ht="15.75" x14ac:dyDescent="0.3">
      <c r="A299" s="1" t="s">
        <v>1754</v>
      </c>
      <c r="B299" s="6">
        <v>1500</v>
      </c>
    </row>
    <row r="300" spans="1:2" ht="15.75" x14ac:dyDescent="0.3">
      <c r="A300" s="1" t="s">
        <v>1757</v>
      </c>
      <c r="B300" s="6">
        <v>1500</v>
      </c>
    </row>
    <row r="301" spans="1:2" ht="15.75" x14ac:dyDescent="0.3">
      <c r="A301" s="1" t="s">
        <v>1762</v>
      </c>
      <c r="B301" s="6">
        <v>1500</v>
      </c>
    </row>
    <row r="302" spans="1:2" ht="15.75" x14ac:dyDescent="0.3">
      <c r="A302" s="1" t="s">
        <v>1777</v>
      </c>
      <c r="B302" s="6">
        <v>1500</v>
      </c>
    </row>
    <row r="303" spans="1:2" ht="15.75" x14ac:dyDescent="0.3">
      <c r="A303" s="1" t="s">
        <v>1794</v>
      </c>
      <c r="B303" s="6">
        <v>1500</v>
      </c>
    </row>
    <row r="304" spans="1:2" ht="15.75" x14ac:dyDescent="0.3">
      <c r="A304" s="1" t="s">
        <v>1798</v>
      </c>
      <c r="B304" s="6">
        <v>1500</v>
      </c>
    </row>
    <row r="305" spans="1:2" ht="15.75" x14ac:dyDescent="0.3">
      <c r="A305" s="1" t="s">
        <v>1804</v>
      </c>
      <c r="B305" s="6">
        <v>1500</v>
      </c>
    </row>
    <row r="306" spans="1:2" ht="15.75" x14ac:dyDescent="0.3">
      <c r="A306" s="1" t="s">
        <v>1807</v>
      </c>
      <c r="B306" s="6">
        <v>1500</v>
      </c>
    </row>
    <row r="307" spans="1:2" ht="15.75" x14ac:dyDescent="0.3">
      <c r="A307" s="1" t="s">
        <v>1811</v>
      </c>
      <c r="B307" s="6">
        <v>1500</v>
      </c>
    </row>
    <row r="308" spans="1:2" ht="15.75" x14ac:dyDescent="0.3">
      <c r="A308" s="1" t="s">
        <v>1823</v>
      </c>
      <c r="B308" s="6">
        <v>1500</v>
      </c>
    </row>
    <row r="309" spans="1:2" ht="15.75" x14ac:dyDescent="0.3">
      <c r="A309" s="1" t="s">
        <v>1828</v>
      </c>
      <c r="B309" s="6">
        <v>1500</v>
      </c>
    </row>
    <row r="310" spans="1:2" ht="15.75" x14ac:dyDescent="0.3">
      <c r="A310" s="1" t="s">
        <v>1832</v>
      </c>
      <c r="B310" s="6">
        <v>1500</v>
      </c>
    </row>
    <row r="311" spans="1:2" ht="15.75" x14ac:dyDescent="0.3">
      <c r="A311" s="1" t="s">
        <v>1840</v>
      </c>
      <c r="B311" s="6">
        <v>1500</v>
      </c>
    </row>
    <row r="312" spans="1:2" ht="15.75" x14ac:dyDescent="0.3">
      <c r="A312" s="1" t="s">
        <v>1843</v>
      </c>
      <c r="B312" s="6">
        <v>1500</v>
      </c>
    </row>
    <row r="313" spans="1:2" ht="15.75" x14ac:dyDescent="0.3">
      <c r="A313" s="1" t="s">
        <v>1853</v>
      </c>
      <c r="B313" s="6">
        <v>1500</v>
      </c>
    </row>
    <row r="314" spans="1:2" ht="15.75" x14ac:dyDescent="0.3">
      <c r="A314" s="1" t="s">
        <v>1855</v>
      </c>
      <c r="B314" s="6">
        <v>1500</v>
      </c>
    </row>
    <row r="315" spans="1:2" ht="15.75" x14ac:dyDescent="0.3">
      <c r="A315" s="1" t="s">
        <v>1863</v>
      </c>
      <c r="B315" s="6">
        <v>1500</v>
      </c>
    </row>
    <row r="316" spans="1:2" ht="15.75" x14ac:dyDescent="0.3">
      <c r="A316" s="1" t="s">
        <v>1870</v>
      </c>
      <c r="B316" s="6">
        <v>1500</v>
      </c>
    </row>
    <row r="317" spans="1:2" ht="15.75" x14ac:dyDescent="0.3">
      <c r="A317" s="1" t="s">
        <v>1871</v>
      </c>
      <c r="B317" s="6">
        <v>1500</v>
      </c>
    </row>
    <row r="318" spans="1:2" ht="15.75" x14ac:dyDescent="0.3">
      <c r="A318" s="1" t="s">
        <v>1873</v>
      </c>
      <c r="B318" s="6">
        <v>1500</v>
      </c>
    </row>
    <row r="319" spans="1:2" ht="15.75" x14ac:dyDescent="0.3">
      <c r="A319" s="1" t="s">
        <v>1875</v>
      </c>
      <c r="B319" s="6">
        <v>1500</v>
      </c>
    </row>
    <row r="320" spans="1:2" ht="15.75" x14ac:dyDescent="0.3">
      <c r="A320" s="1" t="s">
        <v>1876</v>
      </c>
      <c r="B320" s="6">
        <v>1500</v>
      </c>
    </row>
    <row r="321" spans="1:2" ht="15.75" x14ac:dyDescent="0.3">
      <c r="A321" s="1" t="s">
        <v>1878</v>
      </c>
      <c r="B321" s="6">
        <v>1500</v>
      </c>
    </row>
    <row r="322" spans="1:2" ht="15.75" x14ac:dyDescent="0.3">
      <c r="A322" s="1" t="s">
        <v>1879</v>
      </c>
      <c r="B322" s="6">
        <v>1500</v>
      </c>
    </row>
    <row r="323" spans="1:2" ht="15.75" x14ac:dyDescent="0.3">
      <c r="A323" s="1" t="s">
        <v>1882</v>
      </c>
      <c r="B323" s="6">
        <v>1500</v>
      </c>
    </row>
    <row r="324" spans="1:2" ht="15.75" x14ac:dyDescent="0.3">
      <c r="A324" s="1" t="s">
        <v>1884</v>
      </c>
      <c r="B324" s="6">
        <v>1500</v>
      </c>
    </row>
    <row r="325" spans="1:2" ht="15.75" x14ac:dyDescent="0.3">
      <c r="A325" s="1" t="s">
        <v>1884</v>
      </c>
      <c r="B325" s="6">
        <v>1500</v>
      </c>
    </row>
    <row r="326" spans="1:2" ht="15.75" x14ac:dyDescent="0.3">
      <c r="A326" s="1" t="s">
        <v>1890</v>
      </c>
      <c r="B326" s="6">
        <v>1500</v>
      </c>
    </row>
    <row r="327" spans="1:2" ht="15.75" x14ac:dyDescent="0.3">
      <c r="A327" s="1" t="s">
        <v>1891</v>
      </c>
      <c r="B327" s="6">
        <v>1500</v>
      </c>
    </row>
    <row r="328" spans="1:2" ht="15.75" x14ac:dyDescent="0.3">
      <c r="A328" s="1" t="s">
        <v>1897</v>
      </c>
      <c r="B328" s="6">
        <v>1500</v>
      </c>
    </row>
    <row r="329" spans="1:2" ht="15.75" x14ac:dyDescent="0.3">
      <c r="A329" s="1" t="s">
        <v>1899</v>
      </c>
      <c r="B329" s="6">
        <v>1500</v>
      </c>
    </row>
    <row r="330" spans="1:2" ht="15.75" x14ac:dyDescent="0.3">
      <c r="A330" s="1" t="s">
        <v>1900</v>
      </c>
      <c r="B330" s="6">
        <v>1500</v>
      </c>
    </row>
    <row r="331" spans="1:2" ht="15.75" x14ac:dyDescent="0.3">
      <c r="A331" s="1" t="s">
        <v>1901</v>
      </c>
      <c r="B331" s="6">
        <v>1500</v>
      </c>
    </row>
    <row r="332" spans="1:2" ht="15.75" x14ac:dyDescent="0.3">
      <c r="A332" s="1" t="s">
        <v>1906</v>
      </c>
      <c r="B332" s="6">
        <v>1500</v>
      </c>
    </row>
    <row r="333" spans="1:2" ht="15.75" x14ac:dyDescent="0.3">
      <c r="A333" s="1" t="s">
        <v>1721</v>
      </c>
      <c r="B333" s="6">
        <v>1450</v>
      </c>
    </row>
    <row r="334" spans="1:2" ht="15.75" x14ac:dyDescent="0.3">
      <c r="A334" s="1" t="s">
        <v>1524</v>
      </c>
      <c r="B334" s="6">
        <v>1438.83877847331</v>
      </c>
    </row>
    <row r="335" spans="1:2" ht="15.75" x14ac:dyDescent="0.3">
      <c r="A335" s="1" t="s">
        <v>1683</v>
      </c>
      <c r="B335" s="6">
        <v>1382.2721408191301</v>
      </c>
    </row>
    <row r="336" spans="1:2" ht="15.75" x14ac:dyDescent="0.3">
      <c r="A336" s="1" t="s">
        <v>1846</v>
      </c>
      <c r="B336" s="6">
        <v>1379.9788345776501</v>
      </c>
    </row>
    <row r="337" spans="1:2" ht="15.75" x14ac:dyDescent="0.3">
      <c r="A337" s="1" t="s">
        <v>1887</v>
      </c>
      <c r="B337" s="6">
        <v>1288.2023216088701</v>
      </c>
    </row>
    <row r="338" spans="1:2" ht="15.75" x14ac:dyDescent="0.3">
      <c r="A338" s="1" t="s">
        <v>1887</v>
      </c>
      <c r="B338" s="6">
        <v>1288.2023216088701</v>
      </c>
    </row>
    <row r="339" spans="1:2" ht="15.75" x14ac:dyDescent="0.3">
      <c r="A339" s="1" t="s">
        <v>1700</v>
      </c>
      <c r="B339" s="6">
        <v>1230</v>
      </c>
    </row>
    <row r="340" spans="1:2" ht="15.75" x14ac:dyDescent="0.3">
      <c r="A340" s="1" t="s">
        <v>1889</v>
      </c>
      <c r="B340" s="6">
        <v>1230</v>
      </c>
    </row>
    <row r="341" spans="1:2" ht="15.75" x14ac:dyDescent="0.3">
      <c r="A341" s="1" t="s">
        <v>1790</v>
      </c>
      <c r="B341" s="6">
        <v>1227.0815730372401</v>
      </c>
    </row>
    <row r="342" spans="1:2" ht="15.75" x14ac:dyDescent="0.3">
      <c r="A342" s="1" t="s">
        <v>1538</v>
      </c>
      <c r="B342" s="6">
        <v>1200</v>
      </c>
    </row>
    <row r="343" spans="1:2" ht="15.75" x14ac:dyDescent="0.3">
      <c r="A343" s="1" t="s">
        <v>1646</v>
      </c>
      <c r="B343" s="6">
        <v>1025.80439546911</v>
      </c>
    </row>
    <row r="344" spans="1:2" ht="15.75" x14ac:dyDescent="0.3">
      <c r="A344" s="1" t="s">
        <v>38</v>
      </c>
      <c r="B344" s="6">
        <v>1000</v>
      </c>
    </row>
    <row r="345" spans="1:2" ht="15.75" x14ac:dyDescent="0.3">
      <c r="A345" s="1" t="s">
        <v>1541</v>
      </c>
      <c r="B345" s="6">
        <v>1000</v>
      </c>
    </row>
    <row r="346" spans="1:2" ht="15.75" x14ac:dyDescent="0.3">
      <c r="A346" s="1" t="s">
        <v>1618</v>
      </c>
      <c r="B346" s="6">
        <v>1000</v>
      </c>
    </row>
    <row r="347" spans="1:2" ht="15.75" x14ac:dyDescent="0.3">
      <c r="A347" s="1" t="s">
        <v>1780</v>
      </c>
      <c r="B347" s="6">
        <v>1000</v>
      </c>
    </row>
    <row r="348" spans="1:2" ht="15.75" x14ac:dyDescent="0.3">
      <c r="A348" s="1" t="s">
        <v>1809</v>
      </c>
      <c r="B348" s="6">
        <v>1000</v>
      </c>
    </row>
    <row r="349" spans="1:2" ht="15.75" x14ac:dyDescent="0.3">
      <c r="A349" s="1" t="s">
        <v>1826</v>
      </c>
      <c r="B349" s="6">
        <v>1000</v>
      </c>
    </row>
    <row r="350" spans="1:2" ht="15.75" x14ac:dyDescent="0.3">
      <c r="A350" s="1" t="s">
        <v>1883</v>
      </c>
      <c r="B350" s="6">
        <v>1000</v>
      </c>
    </row>
    <row r="351" spans="1:2" ht="15.75" x14ac:dyDescent="0.3">
      <c r="A351" s="1" t="s">
        <v>1554</v>
      </c>
      <c r="B351" s="6">
        <v>972.09324437361602</v>
      </c>
    </row>
    <row r="352" spans="1:2" ht="15.75" x14ac:dyDescent="0.3">
      <c r="A352" s="1" t="s">
        <v>1542</v>
      </c>
      <c r="B352" s="6">
        <v>969.30685053361901</v>
      </c>
    </row>
    <row r="353" spans="1:2" ht="15.75" x14ac:dyDescent="0.3">
      <c r="A353" s="1" t="s">
        <v>1914</v>
      </c>
      <c r="B353" s="6">
        <v>957.29252547226599</v>
      </c>
    </row>
    <row r="354" spans="1:2" ht="15.75" x14ac:dyDescent="0.3">
      <c r="A354" s="1" t="s">
        <v>1789</v>
      </c>
      <c r="B354" s="6">
        <v>951.178865328548</v>
      </c>
    </row>
    <row r="355" spans="1:2" ht="15.75" x14ac:dyDescent="0.3">
      <c r="A355" s="1" t="s">
        <v>1560</v>
      </c>
      <c r="B355" s="6">
        <v>942.86936174279003</v>
      </c>
    </row>
    <row r="356" spans="1:2" ht="15.75" x14ac:dyDescent="0.3">
      <c r="A356" s="1" t="s">
        <v>1609</v>
      </c>
      <c r="B356" s="6">
        <v>939.54715055173597</v>
      </c>
    </row>
    <row r="357" spans="1:2" ht="15.75" x14ac:dyDescent="0.3">
      <c r="A357" s="1" t="s">
        <v>1894</v>
      </c>
      <c r="B357" s="6">
        <v>933.45756551658803</v>
      </c>
    </row>
    <row r="358" spans="1:2" ht="15.75" x14ac:dyDescent="0.3">
      <c r="A358" s="1" t="s">
        <v>1748</v>
      </c>
      <c r="B358" s="6">
        <v>921.05159041783804</v>
      </c>
    </row>
    <row r="359" spans="1:2" ht="15.75" x14ac:dyDescent="0.3">
      <c r="A359" s="1" t="s">
        <v>1706</v>
      </c>
      <c r="B359" s="6">
        <v>906.46890391195802</v>
      </c>
    </row>
    <row r="360" spans="1:2" ht="15.75" x14ac:dyDescent="0.3">
      <c r="A360" s="1" t="s">
        <v>23</v>
      </c>
      <c r="B360" s="6">
        <v>899.65041589135501</v>
      </c>
    </row>
    <row r="361" spans="1:2" ht="15.75" x14ac:dyDescent="0.3">
      <c r="A361" s="1" t="s">
        <v>1783</v>
      </c>
      <c r="B361" s="6">
        <v>851.98983398164103</v>
      </c>
    </row>
    <row r="362" spans="1:2" ht="15.75" x14ac:dyDescent="0.3">
      <c r="A362" s="1" t="s">
        <v>1692</v>
      </c>
      <c r="B362" s="6">
        <v>850</v>
      </c>
    </row>
    <row r="363" spans="1:2" ht="15.75" x14ac:dyDescent="0.3">
      <c r="A363" s="1" t="s">
        <v>1860</v>
      </c>
      <c r="B363" s="6">
        <v>850</v>
      </c>
    </row>
    <row r="364" spans="1:2" ht="15.75" x14ac:dyDescent="0.3">
      <c r="A364" s="1" t="s">
        <v>1834</v>
      </c>
      <c r="B364" s="6">
        <v>840</v>
      </c>
    </row>
    <row r="365" spans="1:2" ht="15.75" x14ac:dyDescent="0.3">
      <c r="A365" s="1" t="s">
        <v>1602</v>
      </c>
      <c r="B365" s="6">
        <v>812.99942048489299</v>
      </c>
    </row>
    <row r="366" spans="1:2" ht="15.75" x14ac:dyDescent="0.3">
      <c r="A366" s="1" t="s">
        <v>1597</v>
      </c>
      <c r="B366" s="6">
        <v>807.57771146249695</v>
      </c>
    </row>
    <row r="367" spans="1:2" ht="15.75" x14ac:dyDescent="0.3">
      <c r="A367" s="1" t="s">
        <v>1678</v>
      </c>
      <c r="B367" s="6">
        <v>788.64829000980899</v>
      </c>
    </row>
    <row r="368" spans="1:2" ht="15.75" x14ac:dyDescent="0.3">
      <c r="A368" s="1" t="s">
        <v>1856</v>
      </c>
      <c r="B368" s="6">
        <v>788.30668616620801</v>
      </c>
    </row>
    <row r="369" spans="1:2" ht="15.75" x14ac:dyDescent="0.3">
      <c r="A369" s="1" t="s">
        <v>1627</v>
      </c>
      <c r="B369" s="6">
        <v>787.681392120895</v>
      </c>
    </row>
    <row r="370" spans="1:2" ht="15.75" x14ac:dyDescent="0.3">
      <c r="A370" s="1" t="s">
        <v>1640</v>
      </c>
      <c r="B370" s="6">
        <v>775.44589490567898</v>
      </c>
    </row>
    <row r="371" spans="1:2" ht="15.75" x14ac:dyDescent="0.3">
      <c r="A371" s="1" t="s">
        <v>1770</v>
      </c>
      <c r="B371" s="6">
        <v>773.42060851468204</v>
      </c>
    </row>
    <row r="372" spans="1:2" ht="15.75" x14ac:dyDescent="0.3">
      <c r="A372" s="1" t="s">
        <v>1717</v>
      </c>
      <c r="B372" s="6">
        <v>767.64074282127797</v>
      </c>
    </row>
    <row r="373" spans="1:2" ht="15.75" x14ac:dyDescent="0.3">
      <c r="A373" s="1" t="s">
        <v>1561</v>
      </c>
      <c r="B373" s="6">
        <v>767.640591072284</v>
      </c>
    </row>
    <row r="374" spans="1:2" ht="15.75" x14ac:dyDescent="0.3">
      <c r="A374" s="1" t="s">
        <v>1620</v>
      </c>
      <c r="B374" s="6">
        <v>753.08604790074503</v>
      </c>
    </row>
    <row r="375" spans="1:2" ht="15.75" x14ac:dyDescent="0.3">
      <c r="A375" s="1" t="s">
        <v>1660</v>
      </c>
      <c r="B375" s="6">
        <v>750</v>
      </c>
    </row>
    <row r="376" spans="1:2" ht="15.75" x14ac:dyDescent="0.3">
      <c r="A376" s="1" t="s">
        <v>1682</v>
      </c>
      <c r="B376" s="6">
        <v>745.978642305829</v>
      </c>
    </row>
    <row r="377" spans="1:2" ht="15.75" x14ac:dyDescent="0.3">
      <c r="A377" s="1" t="s">
        <v>1571</v>
      </c>
      <c r="B377" s="6">
        <v>726</v>
      </c>
    </row>
    <row r="378" spans="1:2" ht="15.75" x14ac:dyDescent="0.3">
      <c r="A378" s="1" t="s">
        <v>1675</v>
      </c>
      <c r="B378" s="6">
        <v>704.224078713214</v>
      </c>
    </row>
    <row r="379" spans="1:2" ht="15.75" x14ac:dyDescent="0.3">
      <c r="A379" s="1" t="s">
        <v>1508</v>
      </c>
      <c r="B379" s="6">
        <v>702.66497333966004</v>
      </c>
    </row>
    <row r="380" spans="1:2" ht="15.75" x14ac:dyDescent="0.3">
      <c r="A380" s="1" t="s">
        <v>1671</v>
      </c>
      <c r="B380" s="6">
        <v>700</v>
      </c>
    </row>
    <row r="381" spans="1:2" ht="15.75" x14ac:dyDescent="0.3">
      <c r="A381" s="1" t="s">
        <v>1708</v>
      </c>
      <c r="B381" s="6">
        <v>696.68046574207699</v>
      </c>
    </row>
    <row r="382" spans="1:2" ht="15.75" x14ac:dyDescent="0.3">
      <c r="A382" s="1" t="s">
        <v>1687</v>
      </c>
      <c r="B382" s="6">
        <v>695.11221893532002</v>
      </c>
    </row>
    <row r="383" spans="1:2" ht="15.75" x14ac:dyDescent="0.3">
      <c r="A383" s="1" t="s">
        <v>1788</v>
      </c>
      <c r="B383" s="6">
        <v>669.37549034357301</v>
      </c>
    </row>
    <row r="384" spans="1:2" ht="15.75" x14ac:dyDescent="0.3">
      <c r="A384" s="1" t="s">
        <v>1821</v>
      </c>
      <c r="B384" s="6">
        <v>663.36226434909599</v>
      </c>
    </row>
    <row r="385" spans="1:2" ht="15.75" x14ac:dyDescent="0.3">
      <c r="A385" s="1" t="s">
        <v>1556</v>
      </c>
      <c r="B385" s="6">
        <v>660.45277403917498</v>
      </c>
    </row>
    <row r="386" spans="1:2" ht="15.75" x14ac:dyDescent="0.3">
      <c r="A386" s="1" t="s">
        <v>1858</v>
      </c>
      <c r="B386" s="6">
        <v>658.437303185921</v>
      </c>
    </row>
    <row r="387" spans="1:2" ht="15.75" x14ac:dyDescent="0.3">
      <c r="A387" s="1" t="s">
        <v>1753</v>
      </c>
      <c r="B387" s="6">
        <v>656.41320432561895</v>
      </c>
    </row>
    <row r="388" spans="1:2" ht="15.75" x14ac:dyDescent="0.3">
      <c r="A388" s="1" t="s">
        <v>1536</v>
      </c>
      <c r="B388" s="6">
        <v>622.978819045254</v>
      </c>
    </row>
    <row r="389" spans="1:2" ht="15.75" x14ac:dyDescent="0.3">
      <c r="A389" s="1" t="s">
        <v>1607</v>
      </c>
      <c r="B389" s="6">
        <v>618.46916320055902</v>
      </c>
    </row>
    <row r="390" spans="1:2" ht="15.75" x14ac:dyDescent="0.3">
      <c r="A390" s="1" t="s">
        <v>1607</v>
      </c>
      <c r="B390" s="6">
        <v>618.46916320055902</v>
      </c>
    </row>
    <row r="391" spans="1:2" ht="15.75" x14ac:dyDescent="0.3">
      <c r="A391" s="1" t="s">
        <v>1720</v>
      </c>
      <c r="B391" s="6">
        <v>618.46916320055902</v>
      </c>
    </row>
    <row r="392" spans="1:2" ht="15.75" x14ac:dyDescent="0.3">
      <c r="A392" s="1" t="s">
        <v>1559</v>
      </c>
      <c r="B392" s="6">
        <v>618.26118861472298</v>
      </c>
    </row>
    <row r="393" spans="1:2" ht="15.75" x14ac:dyDescent="0.3">
      <c r="A393" s="1" t="s">
        <v>1557</v>
      </c>
      <c r="B393" s="6">
        <v>611.78021298985504</v>
      </c>
    </row>
    <row r="394" spans="1:2" ht="15.75" x14ac:dyDescent="0.3">
      <c r="A394" s="1" t="s">
        <v>1910</v>
      </c>
      <c r="B394" s="6">
        <v>587.12550469514304</v>
      </c>
    </row>
    <row r="395" spans="1:2" ht="15.75" x14ac:dyDescent="0.3">
      <c r="A395" s="1" t="s">
        <v>1779</v>
      </c>
      <c r="B395" s="6">
        <v>585.70548688299095</v>
      </c>
    </row>
    <row r="396" spans="1:2" ht="15.75" x14ac:dyDescent="0.3">
      <c r="A396" s="1" t="s">
        <v>1779</v>
      </c>
      <c r="B396" s="6">
        <v>585.70548688299095</v>
      </c>
    </row>
    <row r="397" spans="1:2" ht="15.75" x14ac:dyDescent="0.3">
      <c r="A397" s="1" t="s">
        <v>1867</v>
      </c>
      <c r="B397" s="6">
        <v>573.59310641522097</v>
      </c>
    </row>
    <row r="398" spans="1:2" ht="15.75" x14ac:dyDescent="0.3">
      <c r="A398" s="1" t="s">
        <v>1864</v>
      </c>
      <c r="B398" s="6">
        <v>568.043827367532</v>
      </c>
    </row>
    <row r="399" spans="1:2" ht="15.75" x14ac:dyDescent="0.3">
      <c r="A399" s="1" t="s">
        <v>1499</v>
      </c>
      <c r="B399" s="6">
        <v>557.76850075566699</v>
      </c>
    </row>
    <row r="400" spans="1:2" ht="15.75" x14ac:dyDescent="0.3">
      <c r="A400" s="1" t="s">
        <v>1631</v>
      </c>
      <c r="B400" s="6">
        <v>554.55985157139605</v>
      </c>
    </row>
    <row r="401" spans="1:2" ht="15.75" x14ac:dyDescent="0.3">
      <c r="A401" s="1" t="s">
        <v>1628</v>
      </c>
      <c r="B401" s="6">
        <v>540</v>
      </c>
    </row>
    <row r="402" spans="1:2" ht="15.75" x14ac:dyDescent="0.3">
      <c r="A402" s="1" t="s">
        <v>1610</v>
      </c>
      <c r="B402" s="6">
        <v>538.64632985466994</v>
      </c>
    </row>
    <row r="403" spans="1:2" ht="15.75" x14ac:dyDescent="0.3">
      <c r="A403" s="1" t="s">
        <v>1672</v>
      </c>
      <c r="B403" s="6">
        <v>525.484036012773</v>
      </c>
    </row>
    <row r="404" spans="1:2" ht="15.75" x14ac:dyDescent="0.3">
      <c r="A404" s="1" t="s">
        <v>1714</v>
      </c>
      <c r="B404" s="6">
        <v>520</v>
      </c>
    </row>
    <row r="405" spans="1:2" ht="15.75" x14ac:dyDescent="0.3">
      <c r="A405" s="1" t="s">
        <v>1572</v>
      </c>
      <c r="B405" s="6">
        <v>519.83410220161397</v>
      </c>
    </row>
    <row r="406" spans="1:2" ht="15.75" x14ac:dyDescent="0.3">
      <c r="A406" s="1" t="s">
        <v>1810</v>
      </c>
      <c r="B406" s="6">
        <v>491.25198529020702</v>
      </c>
    </row>
    <row r="407" spans="1:2" ht="15.75" x14ac:dyDescent="0.3">
      <c r="A407" s="1" t="s">
        <v>1587</v>
      </c>
      <c r="B407" s="6">
        <v>481.26238537476303</v>
      </c>
    </row>
    <row r="408" spans="1:2" ht="15.75" x14ac:dyDescent="0.3">
      <c r="A408" s="1" t="s">
        <v>1643</v>
      </c>
      <c r="B408" s="6">
        <v>480.23697380661099</v>
      </c>
    </row>
    <row r="409" spans="1:2" ht="15.75" x14ac:dyDescent="0.3">
      <c r="A409" s="1" t="s">
        <v>1703</v>
      </c>
      <c r="B409" s="6">
        <v>479.44845860386903</v>
      </c>
    </row>
    <row r="410" spans="1:2" ht="15.75" x14ac:dyDescent="0.3">
      <c r="A410" s="1" t="s">
        <v>1580</v>
      </c>
      <c r="B410" s="6">
        <v>475.98940927973598</v>
      </c>
    </row>
    <row r="411" spans="1:2" ht="15.75" x14ac:dyDescent="0.3">
      <c r="A411" s="1" t="s">
        <v>1799</v>
      </c>
      <c r="B411" s="6">
        <v>475.75609455991997</v>
      </c>
    </row>
    <row r="412" spans="1:2" ht="15.75" x14ac:dyDescent="0.3">
      <c r="A412" s="1" t="s">
        <v>1674</v>
      </c>
      <c r="B412" s="6">
        <v>474.41659405202802</v>
      </c>
    </row>
    <row r="413" spans="1:2" ht="15.75" x14ac:dyDescent="0.3">
      <c r="A413" s="1" t="s">
        <v>1503</v>
      </c>
      <c r="B413" s="6">
        <v>469.60288500642997</v>
      </c>
    </row>
    <row r="414" spans="1:2" ht="15.75" x14ac:dyDescent="0.3">
      <c r="A414" s="1" t="s">
        <v>1862</v>
      </c>
      <c r="B414" s="6">
        <v>460.89489546675702</v>
      </c>
    </row>
    <row r="415" spans="1:2" ht="15.75" x14ac:dyDescent="0.3">
      <c r="A415" s="1" t="s">
        <v>1854</v>
      </c>
      <c r="B415" s="6">
        <v>459.28476549100799</v>
      </c>
    </row>
    <row r="416" spans="1:2" ht="15.75" x14ac:dyDescent="0.3">
      <c r="A416" s="1" t="s">
        <v>1854</v>
      </c>
      <c r="B416" s="6">
        <v>459.28476549100799</v>
      </c>
    </row>
    <row r="417" spans="1:2" ht="15.75" x14ac:dyDescent="0.3">
      <c r="A417" s="1" t="s">
        <v>1586</v>
      </c>
      <c r="B417" s="6">
        <v>450</v>
      </c>
    </row>
    <row r="418" spans="1:2" ht="15.75" x14ac:dyDescent="0.3">
      <c r="A418" s="1" t="s">
        <v>1592</v>
      </c>
      <c r="B418" s="6">
        <v>443.98998918419301</v>
      </c>
    </row>
    <row r="419" spans="1:2" ht="15.75" x14ac:dyDescent="0.3">
      <c r="A419" s="1" t="s">
        <v>1584</v>
      </c>
      <c r="B419" s="6">
        <v>440.00135868523699</v>
      </c>
    </row>
    <row r="420" spans="1:2" ht="15.75" x14ac:dyDescent="0.3">
      <c r="A420" s="1" t="s">
        <v>1824</v>
      </c>
      <c r="B420" s="6">
        <v>430.43241699550202</v>
      </c>
    </row>
    <row r="421" spans="1:2" ht="15.75" x14ac:dyDescent="0.3">
      <c r="A421" s="1" t="s">
        <v>1475</v>
      </c>
      <c r="B421" s="6">
        <v>430</v>
      </c>
    </row>
    <row r="422" spans="1:2" ht="15.75" x14ac:dyDescent="0.3">
      <c r="A422" s="1" t="s">
        <v>1833</v>
      </c>
      <c r="B422" s="6">
        <v>420.045319673412</v>
      </c>
    </row>
    <row r="423" spans="1:2" ht="15.75" x14ac:dyDescent="0.3">
      <c r="A423" s="1" t="s">
        <v>1526</v>
      </c>
      <c r="B423" s="6">
        <v>415.04744091550998</v>
      </c>
    </row>
    <row r="424" spans="1:2" ht="15.75" x14ac:dyDescent="0.3">
      <c r="A424" s="1" t="s">
        <v>1866</v>
      </c>
      <c r="B424" s="6">
        <v>398.09270556066099</v>
      </c>
    </row>
    <row r="425" spans="1:2" ht="15.75" x14ac:dyDescent="0.3">
      <c r="A425" s="1" t="s">
        <v>1726</v>
      </c>
      <c r="B425" s="6">
        <v>395.91958481062102</v>
      </c>
    </row>
    <row r="426" spans="1:2" ht="15.75" x14ac:dyDescent="0.3">
      <c r="A426" s="1" t="s">
        <v>1670</v>
      </c>
      <c r="B426" s="6">
        <v>392.04033943938202</v>
      </c>
    </row>
    <row r="427" spans="1:2" ht="15.75" x14ac:dyDescent="0.3">
      <c r="A427" s="1" t="s">
        <v>1577</v>
      </c>
      <c r="B427" s="6">
        <v>386.011424105174</v>
      </c>
    </row>
    <row r="428" spans="1:2" ht="15.75" x14ac:dyDescent="0.3">
      <c r="A428" s="1" t="s">
        <v>1839</v>
      </c>
      <c r="B428" s="6">
        <v>374.47089828204901</v>
      </c>
    </row>
    <row r="429" spans="1:2" ht="15.75" x14ac:dyDescent="0.3">
      <c r="A429" s="1" t="s">
        <v>1724</v>
      </c>
      <c r="B429" s="6">
        <v>373.65406767253199</v>
      </c>
    </row>
    <row r="430" spans="1:2" ht="15.75" x14ac:dyDescent="0.3">
      <c r="A430" s="1" t="s">
        <v>1619</v>
      </c>
      <c r="B430" s="6">
        <v>371.80432355577398</v>
      </c>
    </row>
    <row r="431" spans="1:2" ht="15.75" x14ac:dyDescent="0.3">
      <c r="A431" s="1" t="s">
        <v>1727</v>
      </c>
      <c r="B431" s="6">
        <v>369.16325329443299</v>
      </c>
    </row>
    <row r="432" spans="1:2" ht="15.75" x14ac:dyDescent="0.3">
      <c r="A432" s="1" t="s">
        <v>1578</v>
      </c>
      <c r="B432" s="6">
        <v>367.73734548621502</v>
      </c>
    </row>
    <row r="433" spans="1:2" ht="15.75" x14ac:dyDescent="0.3">
      <c r="A433" s="1" t="s">
        <v>1859</v>
      </c>
      <c r="B433" s="6">
        <v>363.01661683714099</v>
      </c>
    </row>
    <row r="434" spans="1:2" ht="15.75" x14ac:dyDescent="0.3">
      <c r="A434" s="1" t="s">
        <v>1818</v>
      </c>
      <c r="B434" s="6">
        <v>359.97713098893701</v>
      </c>
    </row>
    <row r="435" spans="1:2" ht="15.75" x14ac:dyDescent="0.3">
      <c r="A435" s="1" t="s">
        <v>34</v>
      </c>
      <c r="B435" s="6">
        <v>356.91702389710002</v>
      </c>
    </row>
    <row r="436" spans="1:2" ht="15.75" x14ac:dyDescent="0.3">
      <c r="A436" s="1" t="s">
        <v>1514</v>
      </c>
      <c r="B436" s="6">
        <v>350.76710902160499</v>
      </c>
    </row>
    <row r="437" spans="1:2" ht="15.75" x14ac:dyDescent="0.3">
      <c r="A437" s="1" t="s">
        <v>1636</v>
      </c>
      <c r="B437" s="6">
        <v>344.20781899791899</v>
      </c>
    </row>
    <row r="438" spans="1:2" ht="15.75" x14ac:dyDescent="0.3">
      <c r="A438" s="1" t="s">
        <v>1752</v>
      </c>
      <c r="B438" s="6">
        <v>321.13619824797001</v>
      </c>
    </row>
    <row r="439" spans="1:2" ht="15.75" x14ac:dyDescent="0.3">
      <c r="A439" s="1" t="s">
        <v>1842</v>
      </c>
      <c r="B439" s="6">
        <v>317.14524622461403</v>
      </c>
    </row>
    <row r="440" spans="1:2" ht="15.75" x14ac:dyDescent="0.3">
      <c r="A440" s="1" t="s">
        <v>1814</v>
      </c>
      <c r="B440" s="6">
        <v>308.34884938781101</v>
      </c>
    </row>
    <row r="441" spans="1:2" ht="15.75" x14ac:dyDescent="0.3">
      <c r="A441" s="1" t="s">
        <v>1896</v>
      </c>
      <c r="B441" s="6">
        <v>300.808682375297</v>
      </c>
    </row>
    <row r="442" spans="1:2" ht="15.75" x14ac:dyDescent="0.3">
      <c r="A442" s="1" t="s">
        <v>1696</v>
      </c>
      <c r="B442" s="6">
        <v>295.36425398299599</v>
      </c>
    </row>
    <row r="443" spans="1:2" ht="15.75" x14ac:dyDescent="0.3">
      <c r="A443" s="1" t="s">
        <v>1737</v>
      </c>
      <c r="B443" s="6">
        <v>283.017642554421</v>
      </c>
    </row>
    <row r="444" spans="1:2" ht="15.75" x14ac:dyDescent="0.3">
      <c r="A444" s="1" t="s">
        <v>1837</v>
      </c>
      <c r="B444" s="6">
        <v>278.88749449666398</v>
      </c>
    </row>
    <row r="445" spans="1:2" ht="15.75" x14ac:dyDescent="0.3">
      <c r="A445" s="1" t="s">
        <v>1734</v>
      </c>
      <c r="B445" s="6">
        <v>272.81530034096198</v>
      </c>
    </row>
    <row r="446" spans="1:2" ht="15.75" x14ac:dyDescent="0.3">
      <c r="A446" s="1" t="s">
        <v>1827</v>
      </c>
      <c r="B446" s="6">
        <v>268.073967615838</v>
      </c>
    </row>
    <row r="447" spans="1:2" ht="15.75" x14ac:dyDescent="0.3">
      <c r="A447" s="1" t="s">
        <v>1485</v>
      </c>
      <c r="B447" s="6">
        <v>242.10715510196599</v>
      </c>
    </row>
    <row r="448" spans="1:2" ht="15.75" x14ac:dyDescent="0.3">
      <c r="A448" s="1" t="s">
        <v>1888</v>
      </c>
      <c r="B448" s="6">
        <v>234.029260524927</v>
      </c>
    </row>
    <row r="449" spans="1:2" ht="15.75" x14ac:dyDescent="0.3">
      <c r="A449" s="1" t="s">
        <v>1784</v>
      </c>
      <c r="B449" s="6">
        <v>220.573894709874</v>
      </c>
    </row>
    <row r="450" spans="1:2" ht="15.75" x14ac:dyDescent="0.3">
      <c r="A450" s="1" t="s">
        <v>1551</v>
      </c>
      <c r="B450" s="6">
        <v>217.27134317407501</v>
      </c>
    </row>
    <row r="451" spans="1:2" ht="15.75" x14ac:dyDescent="0.3">
      <c r="A451" s="1" t="s">
        <v>1808</v>
      </c>
      <c r="B451" s="6">
        <v>198.516375375194</v>
      </c>
    </row>
    <row r="452" spans="1:2" ht="15.75" x14ac:dyDescent="0.3">
      <c r="A452" s="1" t="s">
        <v>1745</v>
      </c>
      <c r="B452" s="6">
        <v>194.76043370859199</v>
      </c>
    </row>
    <row r="453" spans="1:2" ht="15.75" x14ac:dyDescent="0.3">
      <c r="A453" s="1" t="s">
        <v>1865</v>
      </c>
      <c r="B453" s="6">
        <v>159.04619252292301</v>
      </c>
    </row>
    <row r="454" spans="1:2" ht="15.75" x14ac:dyDescent="0.3">
      <c r="A454" s="1" t="s">
        <v>1612</v>
      </c>
      <c r="B454" s="6">
        <v>153.381169538802</v>
      </c>
    </row>
    <row r="455" spans="1:2" ht="15.75" x14ac:dyDescent="0.3">
      <c r="A455" s="1" t="s">
        <v>1793</v>
      </c>
      <c r="B455" s="6">
        <v>151.15038470408601</v>
      </c>
    </row>
    <row r="456" spans="1:2" ht="15.75" x14ac:dyDescent="0.3">
      <c r="A456" s="1" t="s">
        <v>1758</v>
      </c>
      <c r="B456" s="6">
        <v>144.61121434189499</v>
      </c>
    </row>
    <row r="457" spans="1:2" ht="15.75" x14ac:dyDescent="0.3">
      <c r="A457" s="1" t="s">
        <v>1868</v>
      </c>
      <c r="B457" s="6">
        <v>127.363789032357</v>
      </c>
    </row>
    <row r="458" spans="1:2" ht="15.75" x14ac:dyDescent="0.3">
      <c r="A458" s="1" t="s">
        <v>1868</v>
      </c>
      <c r="B458" s="6">
        <v>127.363789032357</v>
      </c>
    </row>
    <row r="459" spans="1:2" ht="15.75" x14ac:dyDescent="0.3">
      <c r="A459" s="1" t="s">
        <v>1611</v>
      </c>
      <c r="B459" s="6">
        <v>125.799546208362</v>
      </c>
    </row>
    <row r="460" spans="1:2" ht="15.75" x14ac:dyDescent="0.3">
      <c r="A460" s="1" t="s">
        <v>1761</v>
      </c>
      <c r="B460" s="6">
        <v>120.62753324200899</v>
      </c>
    </row>
    <row r="461" spans="1:2" ht="15.75" x14ac:dyDescent="0.3">
      <c r="A461" s="1" t="s">
        <v>1591</v>
      </c>
      <c r="B461" s="6">
        <v>120</v>
      </c>
    </row>
    <row r="462" spans="1:2" ht="15.75" x14ac:dyDescent="0.3">
      <c r="A462" s="1" t="s">
        <v>1585</v>
      </c>
      <c r="B462" s="6">
        <v>90.522945695275496</v>
      </c>
    </row>
    <row r="463" spans="1:2" ht="15.75" x14ac:dyDescent="0.3">
      <c r="A463" s="1" t="s">
        <v>1749</v>
      </c>
      <c r="B463" s="6">
        <v>90</v>
      </c>
    </row>
    <row r="464" spans="1:2" ht="15.75" x14ac:dyDescent="0.3">
      <c r="A464" s="1" t="s">
        <v>1519</v>
      </c>
      <c r="B464" s="6">
        <v>85.340273519963603</v>
      </c>
    </row>
    <row r="465" spans="1:2" ht="15.75" x14ac:dyDescent="0.3">
      <c r="A465" s="1" t="s">
        <v>1877</v>
      </c>
      <c r="B465" s="6">
        <v>78.5469795729921</v>
      </c>
    </row>
    <row r="466" spans="1:2" ht="15.75" x14ac:dyDescent="0.3">
      <c r="A466" s="1" t="s">
        <v>1704</v>
      </c>
      <c r="B466" s="6">
        <v>76.989638932025997</v>
      </c>
    </row>
    <row r="467" spans="1:2" ht="15.75" x14ac:dyDescent="0.3">
      <c r="A467" s="1" t="s">
        <v>1704</v>
      </c>
      <c r="B467" s="6">
        <v>76.989638932025997</v>
      </c>
    </row>
    <row r="468" spans="1:2" ht="15.75" x14ac:dyDescent="0.3">
      <c r="A468" s="1" t="s">
        <v>1652</v>
      </c>
      <c r="B468" s="6">
        <v>74.678311268991195</v>
      </c>
    </row>
    <row r="469" spans="1:2" ht="15.75" x14ac:dyDescent="0.3">
      <c r="A469" s="1" t="s">
        <v>1880</v>
      </c>
      <c r="B469" s="6">
        <v>62.158911812909501</v>
      </c>
    </row>
    <row r="470" spans="1:2" ht="15.75" x14ac:dyDescent="0.3">
      <c r="A470" s="1" t="s">
        <v>1803</v>
      </c>
      <c r="B470" s="6">
        <v>36.684701848330697</v>
      </c>
    </row>
    <row r="471" spans="1:2" ht="15.75" x14ac:dyDescent="0.3">
      <c r="A471" s="1" t="s">
        <v>1872</v>
      </c>
      <c r="B471" s="6">
        <v>30.688579780824799</v>
      </c>
    </row>
    <row r="472" spans="1:2" ht="15.75" x14ac:dyDescent="0.3">
      <c r="A472" s="1" t="s">
        <v>1845</v>
      </c>
      <c r="B472" s="6">
        <v>4.7349788780394197</v>
      </c>
    </row>
    <row r="473" spans="1:2" ht="15.75" x14ac:dyDescent="0.3">
      <c r="A473" s="1" t="s">
        <v>1656</v>
      </c>
      <c r="B473" s="6"/>
    </row>
    <row r="474" spans="1:2" ht="15.75" x14ac:dyDescent="0.3">
      <c r="A474" s="1" t="s">
        <v>1689</v>
      </c>
      <c r="B474" s="6"/>
    </row>
    <row r="475" spans="1:2" ht="15.75" x14ac:dyDescent="0.3">
      <c r="A475" s="1" t="s">
        <v>1759</v>
      </c>
      <c r="B475" s="6"/>
    </row>
    <row r="476" spans="1:2" ht="15.75" x14ac:dyDescent="0.3">
      <c r="A476" s="1" t="s">
        <v>1780</v>
      </c>
      <c r="B476" s="6"/>
    </row>
    <row r="477" spans="1:2" ht="15.75" x14ac:dyDescent="0.3">
      <c r="A477" s="1" t="s">
        <v>1820</v>
      </c>
      <c r="B477" s="6"/>
    </row>
    <row r="478" spans="1:2" ht="15.75" x14ac:dyDescent="0.3">
      <c r="A478" s="1" t="s">
        <v>1826</v>
      </c>
      <c r="B478" s="6"/>
    </row>
    <row r="479" spans="1:2" ht="15.75" x14ac:dyDescent="0.3">
      <c r="A479" s="1" t="s">
        <v>1826</v>
      </c>
      <c r="B479" s="6"/>
    </row>
    <row r="480" spans="1:2" ht="15.75" x14ac:dyDescent="0.3">
      <c r="A480" s="1" t="s">
        <v>1909</v>
      </c>
      <c r="B480" s="6"/>
    </row>
    <row r="481" spans="1:2" ht="15.75" x14ac:dyDescent="0.3">
      <c r="A481" s="1" t="s">
        <v>1909</v>
      </c>
      <c r="B481" s="6"/>
    </row>
    <row r="482" spans="1:2" ht="15.75" x14ac:dyDescent="0.3">
      <c r="A482" s="1" t="s">
        <v>1909</v>
      </c>
      <c r="B482" s="6"/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3F97-7628-4FDF-8176-A7928D1F9151}">
  <dimension ref="A3:B13"/>
  <sheetViews>
    <sheetView workbookViewId="0">
      <selection activeCell="B12" sqref="B12"/>
    </sheetView>
  </sheetViews>
  <sheetFormatPr defaultRowHeight="15" x14ac:dyDescent="0.25"/>
  <cols>
    <col min="1" max="1" width="11.5703125" bestFit="1" customWidth="1"/>
    <col min="2" max="2" width="14.85546875" bestFit="1" customWidth="1"/>
  </cols>
  <sheetData>
    <row r="3" spans="1:2" x14ac:dyDescent="0.25">
      <c r="A3" s="19" t="s">
        <v>567</v>
      </c>
      <c r="B3" t="s">
        <v>1952</v>
      </c>
    </row>
    <row r="4" spans="1:2" x14ac:dyDescent="0.25">
      <c r="A4" t="s">
        <v>1917</v>
      </c>
      <c r="B4">
        <v>601615.17119205161</v>
      </c>
    </row>
    <row r="5" spans="1:2" x14ac:dyDescent="0.25">
      <c r="A5" t="s">
        <v>1919</v>
      </c>
      <c r="B5">
        <v>468878.58251691714</v>
      </c>
    </row>
    <row r="6" spans="1:2" x14ac:dyDescent="0.25">
      <c r="A6" t="s">
        <v>1918</v>
      </c>
      <c r="B6">
        <v>329239.74632370134</v>
      </c>
    </row>
    <row r="7" spans="1:2" x14ac:dyDescent="0.25">
      <c r="A7" t="s">
        <v>1916</v>
      </c>
      <c r="B7">
        <v>322588.3580681798</v>
      </c>
    </row>
    <row r="12" spans="1:2" x14ac:dyDescent="0.25">
      <c r="A12" t="s">
        <v>5</v>
      </c>
      <c r="B12" s="17" t="s">
        <v>1960</v>
      </c>
    </row>
    <row r="13" spans="1:2" x14ac:dyDescent="0.25">
      <c r="A13" t="s">
        <v>8</v>
      </c>
      <c r="B13" s="17" t="e">
        <f>SUMIF(#REF!,$P13,#REF!)</f>
        <v>#REF!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ABEE-FBA3-45D1-B7F4-A8C0BDFA004E}">
  <dimension ref="A3:B7"/>
  <sheetViews>
    <sheetView topLeftCell="E1" zoomScale="80" zoomScaleNormal="80" workbookViewId="0">
      <selection activeCell="P36" sqref="P36"/>
    </sheetView>
  </sheetViews>
  <sheetFormatPr defaultRowHeight="15" x14ac:dyDescent="0.25"/>
  <cols>
    <col min="1" max="1" width="11.5703125" bestFit="1" customWidth="1"/>
    <col min="2" max="2" width="17.28515625" bestFit="1" customWidth="1"/>
  </cols>
  <sheetData>
    <row r="3" spans="1:2" x14ac:dyDescent="0.25">
      <c r="A3" s="19" t="s">
        <v>567</v>
      </c>
      <c r="B3" t="s">
        <v>1954</v>
      </c>
    </row>
    <row r="4" spans="1:2" x14ac:dyDescent="0.25">
      <c r="A4" t="s">
        <v>1917</v>
      </c>
      <c r="B4">
        <v>91</v>
      </c>
    </row>
    <row r="5" spans="1:2" x14ac:dyDescent="0.25">
      <c r="A5" t="s">
        <v>1919</v>
      </c>
      <c r="B5">
        <v>80</v>
      </c>
    </row>
    <row r="6" spans="1:2" x14ac:dyDescent="0.25">
      <c r="A6" t="s">
        <v>1916</v>
      </c>
      <c r="B6">
        <v>68</v>
      </c>
    </row>
    <row r="7" spans="1:2" x14ac:dyDescent="0.25">
      <c r="A7" t="s">
        <v>1918</v>
      </c>
      <c r="B7">
        <v>60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F39B-5ECF-451D-9247-DCF45754D769}">
  <dimension ref="Z7:AC8"/>
  <sheetViews>
    <sheetView tabSelected="1" zoomScale="70" zoomScaleNormal="70" workbookViewId="0">
      <selection activeCell="AB32" sqref="AB32"/>
    </sheetView>
  </sheetViews>
  <sheetFormatPr defaultRowHeight="15" x14ac:dyDescent="0.25"/>
  <cols>
    <col min="1" max="16384" width="9.140625" style="27"/>
  </cols>
  <sheetData>
    <row r="7" spans="26:29" x14ac:dyDescent="0.25">
      <c r="Z7" s="27" t="s">
        <v>1966</v>
      </c>
    </row>
    <row r="8" spans="26:29" x14ac:dyDescent="0.25">
      <c r="AC8" s="27" t="s">
        <v>1966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33BA-EF9F-4ECF-A9AB-2A7C391734AC}">
  <dimension ref="A3:B8"/>
  <sheetViews>
    <sheetView workbookViewId="0">
      <selection activeCell="A14" sqref="A14:B15"/>
    </sheetView>
  </sheetViews>
  <sheetFormatPr defaultRowHeight="15" x14ac:dyDescent="0.25"/>
  <cols>
    <col min="1" max="1" width="12.28515625" bestFit="1" customWidth="1"/>
    <col min="2" max="2" width="14.85546875" bestFit="1" customWidth="1"/>
  </cols>
  <sheetData>
    <row r="3" spans="1:2" x14ac:dyDescent="0.25">
      <c r="A3" s="19" t="s">
        <v>567</v>
      </c>
      <c r="B3" t="s">
        <v>1952</v>
      </c>
    </row>
    <row r="4" spans="1:2" x14ac:dyDescent="0.25">
      <c r="A4" t="s">
        <v>1922</v>
      </c>
      <c r="B4" s="21">
        <v>1086618.4101989162</v>
      </c>
    </row>
    <row r="5" spans="1:2" x14ac:dyDescent="0.25">
      <c r="A5" t="s">
        <v>1917</v>
      </c>
      <c r="B5" s="21">
        <v>601615.17119205149</v>
      </c>
    </row>
    <row r="6" spans="1:2" x14ac:dyDescent="0.25">
      <c r="A6" t="s">
        <v>1919</v>
      </c>
      <c r="B6" s="21">
        <v>468878.5825169172</v>
      </c>
    </row>
    <row r="7" spans="1:2" x14ac:dyDescent="0.25">
      <c r="A7" t="s">
        <v>1918</v>
      </c>
      <c r="B7" s="21">
        <v>329239.74632370134</v>
      </c>
    </row>
    <row r="8" spans="1:2" x14ac:dyDescent="0.25">
      <c r="A8" t="s">
        <v>1916</v>
      </c>
      <c r="B8" s="21">
        <v>322588.35806817986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2D43-9AC6-4D35-AAB7-0021B0E74C82}">
  <dimension ref="A1:F482"/>
  <sheetViews>
    <sheetView topLeftCell="A455" workbookViewId="0">
      <selection activeCell="I484" sqref="I484"/>
    </sheetView>
  </sheetViews>
  <sheetFormatPr defaultRowHeight="15" x14ac:dyDescent="0.25"/>
  <cols>
    <col min="1" max="1" width="11.5703125" bestFit="1" customWidth="1"/>
    <col min="2" max="2" width="23.42578125" style="7" bestFit="1" customWidth="1"/>
  </cols>
  <sheetData>
    <row r="1" spans="1:6" ht="15.75" x14ac:dyDescent="0.3">
      <c r="A1" s="11" t="s">
        <v>567</v>
      </c>
      <c r="B1" s="10" t="s">
        <v>1019</v>
      </c>
    </row>
    <row r="2" spans="1:6" ht="15.75" x14ac:dyDescent="0.3">
      <c r="A2" t="s">
        <v>1917</v>
      </c>
      <c r="B2" s="6">
        <v>123000</v>
      </c>
    </row>
    <row r="3" spans="1:6" ht="15.75" x14ac:dyDescent="0.3">
      <c r="A3" t="s">
        <v>1922</v>
      </c>
      <c r="B3" s="6">
        <v>120000</v>
      </c>
      <c r="E3" t="s">
        <v>1953</v>
      </c>
    </row>
    <row r="4" spans="1:6" ht="15.75" x14ac:dyDescent="0.3">
      <c r="A4" t="s">
        <v>1917</v>
      </c>
      <c r="B4" s="6">
        <v>95000</v>
      </c>
    </row>
    <row r="5" spans="1:6" ht="15.75" x14ac:dyDescent="0.3">
      <c r="A5" t="s">
        <v>1922</v>
      </c>
      <c r="B5" s="6">
        <v>90000</v>
      </c>
    </row>
    <row r="6" spans="1:6" ht="15.75" x14ac:dyDescent="0.3">
      <c r="A6" t="s">
        <v>1919</v>
      </c>
      <c r="B6" s="6">
        <v>78000</v>
      </c>
    </row>
    <row r="7" spans="1:6" ht="15.75" x14ac:dyDescent="0.3">
      <c r="A7" t="s">
        <v>1922</v>
      </c>
      <c r="B7" s="6">
        <v>56000</v>
      </c>
    </row>
    <row r="8" spans="1:6" ht="15.75" x14ac:dyDescent="0.3">
      <c r="A8" t="s">
        <v>1918</v>
      </c>
      <c r="B8" s="6">
        <v>54000</v>
      </c>
      <c r="E8" t="s">
        <v>1922</v>
      </c>
      <c r="F8">
        <f>SUMIF(A:A,E8,B:B)</f>
        <v>1086618.4101989162</v>
      </c>
    </row>
    <row r="9" spans="1:6" ht="15.75" x14ac:dyDescent="0.3">
      <c r="A9" t="s">
        <v>1919</v>
      </c>
      <c r="B9" s="6">
        <v>50000</v>
      </c>
    </row>
    <row r="10" spans="1:6" ht="15.75" x14ac:dyDescent="0.3">
      <c r="A10" t="s">
        <v>1922</v>
      </c>
      <c r="B10" s="6">
        <v>45000</v>
      </c>
    </row>
    <row r="11" spans="1:6" ht="15.75" x14ac:dyDescent="0.3">
      <c r="A11" t="s">
        <v>1922</v>
      </c>
      <c r="B11" s="6">
        <v>44000</v>
      </c>
    </row>
    <row r="12" spans="1:6" ht="15.75" x14ac:dyDescent="0.3">
      <c r="A12" t="s">
        <v>1917</v>
      </c>
      <c r="B12" s="6">
        <v>34000</v>
      </c>
    </row>
    <row r="13" spans="1:6" ht="15.75" x14ac:dyDescent="0.3">
      <c r="A13" t="s">
        <v>1918</v>
      </c>
      <c r="B13" s="6">
        <v>29370</v>
      </c>
    </row>
    <row r="14" spans="1:6" ht="15.75" x14ac:dyDescent="0.3">
      <c r="A14" t="s">
        <v>1917</v>
      </c>
      <c r="B14" s="6">
        <v>25000</v>
      </c>
    </row>
    <row r="15" spans="1:6" ht="15.75" x14ac:dyDescent="0.3">
      <c r="A15" t="s">
        <v>1922</v>
      </c>
      <c r="B15" s="6">
        <v>25000</v>
      </c>
    </row>
    <row r="16" spans="1:6" ht="15.75" x14ac:dyDescent="0.3">
      <c r="A16" t="s">
        <v>1916</v>
      </c>
      <c r="B16" s="6">
        <v>23000</v>
      </c>
    </row>
    <row r="17" spans="1:2" ht="15.75" x14ac:dyDescent="0.3">
      <c r="A17" t="s">
        <v>1916</v>
      </c>
      <c r="B17" s="6">
        <v>18000</v>
      </c>
    </row>
    <row r="18" spans="1:2" ht="15.75" x14ac:dyDescent="0.3">
      <c r="A18" t="s">
        <v>1919</v>
      </c>
      <c r="B18" s="6">
        <v>17500</v>
      </c>
    </row>
    <row r="19" spans="1:2" ht="15.75" x14ac:dyDescent="0.3">
      <c r="A19" t="s">
        <v>1916</v>
      </c>
      <c r="B19" s="6">
        <v>17000</v>
      </c>
    </row>
    <row r="20" spans="1:2" ht="15.75" x14ac:dyDescent="0.3">
      <c r="A20" t="s">
        <v>1922</v>
      </c>
      <c r="B20" s="6">
        <v>17000</v>
      </c>
    </row>
    <row r="21" spans="1:2" ht="15.75" x14ac:dyDescent="0.3">
      <c r="A21" t="s">
        <v>1918</v>
      </c>
      <c r="B21" s="6">
        <v>15000</v>
      </c>
    </row>
    <row r="22" spans="1:2" ht="15.75" x14ac:dyDescent="0.3">
      <c r="A22" t="s">
        <v>1917</v>
      </c>
      <c r="B22" s="6">
        <v>14000</v>
      </c>
    </row>
    <row r="23" spans="1:2" ht="15.75" x14ac:dyDescent="0.3">
      <c r="A23" t="s">
        <v>1919</v>
      </c>
      <c r="B23" s="6">
        <v>13500</v>
      </c>
    </row>
    <row r="24" spans="1:2" ht="15.75" x14ac:dyDescent="0.3">
      <c r="A24" t="s">
        <v>1922</v>
      </c>
      <c r="B24" s="6">
        <v>13000</v>
      </c>
    </row>
    <row r="25" spans="1:2" ht="15.75" x14ac:dyDescent="0.3">
      <c r="A25" t="s">
        <v>1919</v>
      </c>
      <c r="B25" s="6">
        <v>12000</v>
      </c>
    </row>
    <row r="26" spans="1:2" ht="15.75" x14ac:dyDescent="0.3">
      <c r="A26" t="s">
        <v>1922</v>
      </c>
      <c r="B26" s="6">
        <v>10000</v>
      </c>
    </row>
    <row r="27" spans="1:2" ht="15.75" x14ac:dyDescent="0.3">
      <c r="A27" t="s">
        <v>1918</v>
      </c>
      <c r="B27" s="6">
        <v>9929.4319131085595</v>
      </c>
    </row>
    <row r="28" spans="1:2" ht="15.75" x14ac:dyDescent="0.3">
      <c r="A28" t="s">
        <v>1922</v>
      </c>
      <c r="B28" s="6">
        <v>9891.8248113452501</v>
      </c>
    </row>
    <row r="29" spans="1:2" ht="15.75" x14ac:dyDescent="0.3">
      <c r="A29" t="s">
        <v>1919</v>
      </c>
      <c r="B29" s="6">
        <v>9851.8259493926707</v>
      </c>
    </row>
    <row r="30" spans="1:2" ht="15.75" x14ac:dyDescent="0.3">
      <c r="A30" t="s">
        <v>1922</v>
      </c>
      <c r="B30" s="6">
        <v>9821.6898489904106</v>
      </c>
    </row>
    <row r="31" spans="1:2" ht="15.75" x14ac:dyDescent="0.3">
      <c r="A31" t="s">
        <v>1922</v>
      </c>
      <c r="B31" s="6">
        <v>9810.3021037234394</v>
      </c>
    </row>
    <row r="32" spans="1:2" ht="15.75" x14ac:dyDescent="0.3">
      <c r="A32" t="s">
        <v>1919</v>
      </c>
      <c r="B32" s="6">
        <v>9800</v>
      </c>
    </row>
    <row r="33" spans="1:2" ht="15.75" x14ac:dyDescent="0.3">
      <c r="A33" t="s">
        <v>1922</v>
      </c>
      <c r="B33" s="6">
        <v>9800</v>
      </c>
    </row>
    <row r="34" spans="1:2" ht="15.75" x14ac:dyDescent="0.3">
      <c r="A34" t="s">
        <v>1919</v>
      </c>
      <c r="B34" s="6">
        <v>9800</v>
      </c>
    </row>
    <row r="35" spans="1:2" ht="15.75" x14ac:dyDescent="0.3">
      <c r="A35" t="s">
        <v>1916</v>
      </c>
      <c r="B35" s="6">
        <v>9741.8851595885608</v>
      </c>
    </row>
    <row r="36" spans="1:2" ht="15.75" x14ac:dyDescent="0.3">
      <c r="A36" t="s">
        <v>1919</v>
      </c>
      <c r="B36" s="6">
        <v>9675.4025029014301</v>
      </c>
    </row>
    <row r="37" spans="1:2" ht="15.75" x14ac:dyDescent="0.3">
      <c r="A37" t="s">
        <v>1922</v>
      </c>
      <c r="B37" s="6">
        <v>9626.6635727363991</v>
      </c>
    </row>
    <row r="38" spans="1:2" ht="15.75" x14ac:dyDescent="0.3">
      <c r="A38" t="s">
        <v>1919</v>
      </c>
      <c r="B38" s="6">
        <v>9600</v>
      </c>
    </row>
    <row r="39" spans="1:2" ht="15.75" x14ac:dyDescent="0.3">
      <c r="A39" t="s">
        <v>1922</v>
      </c>
      <c r="B39" s="6">
        <v>9557.1452255059903</v>
      </c>
    </row>
    <row r="40" spans="1:2" ht="15.75" x14ac:dyDescent="0.3">
      <c r="A40" t="s">
        <v>1916</v>
      </c>
      <c r="B40" s="6">
        <v>9500</v>
      </c>
    </row>
    <row r="41" spans="1:2" ht="15.75" x14ac:dyDescent="0.3">
      <c r="A41" t="s">
        <v>1918</v>
      </c>
      <c r="B41" s="6">
        <v>9500</v>
      </c>
    </row>
    <row r="42" spans="1:2" ht="15.75" x14ac:dyDescent="0.3">
      <c r="A42" t="s">
        <v>1918</v>
      </c>
      <c r="B42" s="6">
        <v>9500</v>
      </c>
    </row>
    <row r="43" spans="1:2" ht="15.75" x14ac:dyDescent="0.3">
      <c r="A43" t="s">
        <v>1918</v>
      </c>
      <c r="B43" s="6">
        <v>9500</v>
      </c>
    </row>
    <row r="44" spans="1:2" ht="15.75" x14ac:dyDescent="0.3">
      <c r="A44" t="s">
        <v>1916</v>
      </c>
      <c r="B44" s="6">
        <v>9500</v>
      </c>
    </row>
    <row r="45" spans="1:2" ht="15.75" x14ac:dyDescent="0.3">
      <c r="A45" t="s">
        <v>1918</v>
      </c>
      <c r="B45" s="6">
        <v>9500</v>
      </c>
    </row>
    <row r="46" spans="1:2" ht="15.75" x14ac:dyDescent="0.3">
      <c r="A46" t="s">
        <v>1922</v>
      </c>
      <c r="B46" s="6">
        <v>9500</v>
      </c>
    </row>
    <row r="47" spans="1:2" ht="15.75" x14ac:dyDescent="0.3">
      <c r="A47" t="s">
        <v>1922</v>
      </c>
      <c r="B47" s="6">
        <v>9500</v>
      </c>
    </row>
    <row r="48" spans="1:2" ht="15.75" x14ac:dyDescent="0.3">
      <c r="A48" t="s">
        <v>1917</v>
      </c>
      <c r="B48" s="6">
        <v>9500</v>
      </c>
    </row>
    <row r="49" spans="1:2" ht="15.75" x14ac:dyDescent="0.3">
      <c r="A49" t="s">
        <v>1916</v>
      </c>
      <c r="B49" s="6">
        <v>9500</v>
      </c>
    </row>
    <row r="50" spans="1:2" ht="15.75" x14ac:dyDescent="0.3">
      <c r="A50" t="s">
        <v>1922</v>
      </c>
      <c r="B50" s="6">
        <v>9500</v>
      </c>
    </row>
    <row r="51" spans="1:2" ht="15.75" x14ac:dyDescent="0.3">
      <c r="A51" t="s">
        <v>1919</v>
      </c>
      <c r="B51" s="6">
        <v>9500</v>
      </c>
    </row>
    <row r="52" spans="1:2" ht="15.75" x14ac:dyDescent="0.3">
      <c r="A52" t="s">
        <v>1922</v>
      </c>
      <c r="B52" s="6">
        <v>9500</v>
      </c>
    </row>
    <row r="53" spans="1:2" ht="15.75" x14ac:dyDescent="0.3">
      <c r="A53" t="s">
        <v>1917</v>
      </c>
      <c r="B53" s="6">
        <v>9500</v>
      </c>
    </row>
    <row r="54" spans="1:2" ht="15.75" x14ac:dyDescent="0.3">
      <c r="A54" t="s">
        <v>1922</v>
      </c>
      <c r="B54" s="6">
        <v>9500</v>
      </c>
    </row>
    <row r="55" spans="1:2" ht="15.75" x14ac:dyDescent="0.3">
      <c r="A55" t="s">
        <v>1922</v>
      </c>
      <c r="B55" s="6">
        <v>9500</v>
      </c>
    </row>
    <row r="56" spans="1:2" ht="15.75" x14ac:dyDescent="0.3">
      <c r="A56" t="s">
        <v>1916</v>
      </c>
      <c r="B56" s="6">
        <v>9500</v>
      </c>
    </row>
    <row r="57" spans="1:2" ht="15.75" x14ac:dyDescent="0.3">
      <c r="A57" t="s">
        <v>1918</v>
      </c>
      <c r="B57" s="6">
        <v>9500</v>
      </c>
    </row>
    <row r="58" spans="1:2" ht="15.75" x14ac:dyDescent="0.3">
      <c r="A58" t="s">
        <v>1922</v>
      </c>
      <c r="B58" s="6">
        <v>9500</v>
      </c>
    </row>
    <row r="59" spans="1:2" ht="15.75" x14ac:dyDescent="0.3">
      <c r="A59" t="s">
        <v>1922</v>
      </c>
      <c r="B59" s="6">
        <v>9500</v>
      </c>
    </row>
    <row r="60" spans="1:2" ht="15.75" x14ac:dyDescent="0.3">
      <c r="A60" t="s">
        <v>1922</v>
      </c>
      <c r="B60" s="6">
        <v>9500</v>
      </c>
    </row>
    <row r="61" spans="1:2" ht="15.75" x14ac:dyDescent="0.3">
      <c r="A61" t="s">
        <v>1916</v>
      </c>
      <c r="B61" s="6">
        <v>9500</v>
      </c>
    </row>
    <row r="62" spans="1:2" ht="15.75" x14ac:dyDescent="0.3">
      <c r="A62" t="s">
        <v>1922</v>
      </c>
      <c r="B62" s="6">
        <v>9500</v>
      </c>
    </row>
    <row r="63" spans="1:2" ht="15.75" x14ac:dyDescent="0.3">
      <c r="A63" t="s">
        <v>1917</v>
      </c>
      <c r="B63" s="6">
        <v>9500</v>
      </c>
    </row>
    <row r="64" spans="1:2" ht="15.75" x14ac:dyDescent="0.3">
      <c r="A64" t="s">
        <v>1917</v>
      </c>
      <c r="B64" s="6">
        <v>9500</v>
      </c>
    </row>
    <row r="65" spans="1:2" ht="15.75" x14ac:dyDescent="0.3">
      <c r="A65" t="s">
        <v>1918</v>
      </c>
      <c r="B65" s="6">
        <v>9500</v>
      </c>
    </row>
    <row r="66" spans="1:2" ht="15.75" x14ac:dyDescent="0.3">
      <c r="A66" t="s">
        <v>1919</v>
      </c>
      <c r="B66" s="6">
        <v>9500</v>
      </c>
    </row>
    <row r="67" spans="1:2" ht="15.75" x14ac:dyDescent="0.3">
      <c r="A67" t="s">
        <v>1922</v>
      </c>
      <c r="B67" s="6">
        <v>9500</v>
      </c>
    </row>
    <row r="68" spans="1:2" ht="15.75" x14ac:dyDescent="0.3">
      <c r="A68" t="s">
        <v>1922</v>
      </c>
      <c r="B68" s="6">
        <v>9500</v>
      </c>
    </row>
    <row r="69" spans="1:2" ht="15.75" x14ac:dyDescent="0.3">
      <c r="A69" t="s">
        <v>1922</v>
      </c>
      <c r="B69" s="6">
        <v>9500</v>
      </c>
    </row>
    <row r="70" spans="1:2" ht="15.75" x14ac:dyDescent="0.3">
      <c r="A70" t="s">
        <v>1916</v>
      </c>
      <c r="B70" s="6">
        <v>9500</v>
      </c>
    </row>
    <row r="71" spans="1:2" ht="15.75" x14ac:dyDescent="0.3">
      <c r="A71" t="s">
        <v>1918</v>
      </c>
      <c r="B71" s="6">
        <v>9500</v>
      </c>
    </row>
    <row r="72" spans="1:2" ht="15.75" x14ac:dyDescent="0.3">
      <c r="A72" t="s">
        <v>1919</v>
      </c>
      <c r="B72" s="6">
        <v>9500</v>
      </c>
    </row>
    <row r="73" spans="1:2" ht="15.75" x14ac:dyDescent="0.3">
      <c r="A73" t="s">
        <v>1922</v>
      </c>
      <c r="B73" s="6">
        <v>9500</v>
      </c>
    </row>
    <row r="74" spans="1:2" ht="15.75" x14ac:dyDescent="0.3">
      <c r="A74" t="s">
        <v>1922</v>
      </c>
      <c r="B74" s="6">
        <v>9500</v>
      </c>
    </row>
    <row r="75" spans="1:2" ht="15.75" x14ac:dyDescent="0.3">
      <c r="A75" t="s">
        <v>1922</v>
      </c>
      <c r="B75" s="6">
        <v>9500</v>
      </c>
    </row>
    <row r="76" spans="1:2" ht="15.75" x14ac:dyDescent="0.3">
      <c r="A76" t="s">
        <v>1922</v>
      </c>
      <c r="B76" s="6">
        <v>9500</v>
      </c>
    </row>
    <row r="77" spans="1:2" ht="15.75" x14ac:dyDescent="0.3">
      <c r="A77" t="s">
        <v>1922</v>
      </c>
      <c r="B77" s="6">
        <v>9500</v>
      </c>
    </row>
    <row r="78" spans="1:2" ht="15.75" x14ac:dyDescent="0.3">
      <c r="A78" t="s">
        <v>1917</v>
      </c>
      <c r="B78" s="6">
        <v>9500</v>
      </c>
    </row>
    <row r="79" spans="1:2" ht="15.75" x14ac:dyDescent="0.3">
      <c r="A79" t="s">
        <v>1918</v>
      </c>
      <c r="B79" s="6">
        <v>9500</v>
      </c>
    </row>
    <row r="80" spans="1:2" ht="15.75" x14ac:dyDescent="0.3">
      <c r="A80" t="s">
        <v>1919</v>
      </c>
      <c r="B80" s="6">
        <v>9500</v>
      </c>
    </row>
    <row r="81" spans="1:2" ht="15.75" x14ac:dyDescent="0.3">
      <c r="A81" t="s">
        <v>1916</v>
      </c>
      <c r="B81" s="6">
        <v>9500</v>
      </c>
    </row>
    <row r="82" spans="1:2" ht="15.75" x14ac:dyDescent="0.3">
      <c r="A82" t="s">
        <v>1917</v>
      </c>
      <c r="B82" s="6">
        <v>9500</v>
      </c>
    </row>
    <row r="83" spans="1:2" ht="15.75" x14ac:dyDescent="0.3">
      <c r="A83" t="s">
        <v>1922</v>
      </c>
      <c r="B83" s="6">
        <v>9500</v>
      </c>
    </row>
    <row r="84" spans="1:2" ht="15.75" x14ac:dyDescent="0.3">
      <c r="A84" t="s">
        <v>1922</v>
      </c>
      <c r="B84" s="6">
        <v>9500</v>
      </c>
    </row>
    <row r="85" spans="1:2" ht="15.75" x14ac:dyDescent="0.3">
      <c r="A85" t="s">
        <v>1922</v>
      </c>
      <c r="B85" s="6">
        <v>9500</v>
      </c>
    </row>
    <row r="86" spans="1:2" ht="15.75" x14ac:dyDescent="0.3">
      <c r="A86" t="s">
        <v>1917</v>
      </c>
      <c r="B86" s="6">
        <v>9500</v>
      </c>
    </row>
    <row r="87" spans="1:2" ht="15.75" x14ac:dyDescent="0.3">
      <c r="A87" t="s">
        <v>1922</v>
      </c>
      <c r="B87" s="6">
        <v>9500</v>
      </c>
    </row>
    <row r="88" spans="1:2" ht="15.75" x14ac:dyDescent="0.3">
      <c r="A88" t="s">
        <v>1922</v>
      </c>
      <c r="B88" s="6">
        <v>9500</v>
      </c>
    </row>
    <row r="89" spans="1:2" ht="15.75" x14ac:dyDescent="0.3">
      <c r="A89" t="s">
        <v>1919</v>
      </c>
      <c r="B89" s="6">
        <v>9500</v>
      </c>
    </row>
    <row r="90" spans="1:2" ht="15.75" x14ac:dyDescent="0.3">
      <c r="A90" t="s">
        <v>1918</v>
      </c>
      <c r="B90" s="6">
        <v>9500</v>
      </c>
    </row>
    <row r="91" spans="1:2" ht="15.75" x14ac:dyDescent="0.3">
      <c r="A91" t="s">
        <v>1919</v>
      </c>
      <c r="B91" s="6">
        <v>9500</v>
      </c>
    </row>
    <row r="92" spans="1:2" ht="15.75" x14ac:dyDescent="0.3">
      <c r="A92" t="s">
        <v>1917</v>
      </c>
      <c r="B92" s="6">
        <v>9500</v>
      </c>
    </row>
    <row r="93" spans="1:2" ht="15.75" x14ac:dyDescent="0.3">
      <c r="A93" t="s">
        <v>1922</v>
      </c>
      <c r="B93" s="6">
        <v>9500</v>
      </c>
    </row>
    <row r="94" spans="1:2" ht="15.75" x14ac:dyDescent="0.3">
      <c r="A94" t="s">
        <v>1916</v>
      </c>
      <c r="B94" s="6">
        <v>9500</v>
      </c>
    </row>
    <row r="95" spans="1:2" ht="15.75" x14ac:dyDescent="0.3">
      <c r="A95" t="s">
        <v>1916</v>
      </c>
      <c r="B95" s="6">
        <v>9500</v>
      </c>
    </row>
    <row r="96" spans="1:2" ht="15.75" x14ac:dyDescent="0.3">
      <c r="A96" t="s">
        <v>1922</v>
      </c>
      <c r="B96" s="6">
        <v>9500</v>
      </c>
    </row>
    <row r="97" spans="1:2" ht="15.75" x14ac:dyDescent="0.3">
      <c r="A97" t="s">
        <v>1922</v>
      </c>
      <c r="B97" s="6">
        <v>9500</v>
      </c>
    </row>
    <row r="98" spans="1:2" ht="15.75" x14ac:dyDescent="0.3">
      <c r="A98" t="s">
        <v>1922</v>
      </c>
      <c r="B98" s="6">
        <v>9500</v>
      </c>
    </row>
    <row r="99" spans="1:2" ht="15.75" x14ac:dyDescent="0.3">
      <c r="A99" t="s">
        <v>1917</v>
      </c>
      <c r="B99" s="6">
        <v>9500</v>
      </c>
    </row>
    <row r="100" spans="1:2" ht="15.75" x14ac:dyDescent="0.3">
      <c r="A100" t="s">
        <v>1918</v>
      </c>
      <c r="B100" s="6">
        <v>9500</v>
      </c>
    </row>
    <row r="101" spans="1:2" ht="15.75" x14ac:dyDescent="0.3">
      <c r="A101" t="s">
        <v>1922</v>
      </c>
      <c r="B101" s="6">
        <v>9500</v>
      </c>
    </row>
    <row r="102" spans="1:2" ht="15.75" x14ac:dyDescent="0.3">
      <c r="A102" t="s">
        <v>1918</v>
      </c>
      <c r="B102" s="6">
        <v>9500</v>
      </c>
    </row>
    <row r="103" spans="1:2" ht="15.75" x14ac:dyDescent="0.3">
      <c r="A103" t="s">
        <v>1919</v>
      </c>
      <c r="B103" s="6">
        <v>9500</v>
      </c>
    </row>
    <row r="104" spans="1:2" ht="15.75" x14ac:dyDescent="0.3">
      <c r="A104" t="s">
        <v>1916</v>
      </c>
      <c r="B104" s="6">
        <v>9500</v>
      </c>
    </row>
    <row r="105" spans="1:2" ht="15.75" x14ac:dyDescent="0.3">
      <c r="A105" t="s">
        <v>1918</v>
      </c>
      <c r="B105" s="6">
        <v>9500</v>
      </c>
    </row>
    <row r="106" spans="1:2" ht="15.75" x14ac:dyDescent="0.3">
      <c r="A106" t="s">
        <v>1916</v>
      </c>
      <c r="B106" s="6">
        <v>9500</v>
      </c>
    </row>
    <row r="107" spans="1:2" ht="15.75" x14ac:dyDescent="0.3">
      <c r="A107" t="s">
        <v>1916</v>
      </c>
      <c r="B107" s="6">
        <v>9500</v>
      </c>
    </row>
    <row r="108" spans="1:2" ht="15.75" x14ac:dyDescent="0.3">
      <c r="A108" t="s">
        <v>1919</v>
      </c>
      <c r="B108" s="6">
        <v>9500</v>
      </c>
    </row>
    <row r="109" spans="1:2" ht="15.75" x14ac:dyDescent="0.3">
      <c r="A109" t="s">
        <v>1916</v>
      </c>
      <c r="B109" s="6">
        <v>9500</v>
      </c>
    </row>
    <row r="110" spans="1:2" ht="15.75" x14ac:dyDescent="0.3">
      <c r="A110" t="s">
        <v>1916</v>
      </c>
      <c r="B110" s="6">
        <v>9500</v>
      </c>
    </row>
    <row r="111" spans="1:2" ht="15.75" x14ac:dyDescent="0.3">
      <c r="A111" t="s">
        <v>1922</v>
      </c>
      <c r="B111" s="6">
        <v>9500</v>
      </c>
    </row>
    <row r="112" spans="1:2" ht="15.75" x14ac:dyDescent="0.3">
      <c r="A112" t="s">
        <v>1919</v>
      </c>
      <c r="B112" s="6">
        <v>9500</v>
      </c>
    </row>
    <row r="113" spans="1:2" ht="15.75" x14ac:dyDescent="0.3">
      <c r="A113" t="s">
        <v>1917</v>
      </c>
      <c r="B113" s="6">
        <v>9500</v>
      </c>
    </row>
    <row r="114" spans="1:2" ht="15.75" x14ac:dyDescent="0.3">
      <c r="A114" t="s">
        <v>1916</v>
      </c>
      <c r="B114" s="6">
        <v>9500</v>
      </c>
    </row>
    <row r="115" spans="1:2" ht="15.75" x14ac:dyDescent="0.3">
      <c r="A115" t="s">
        <v>1917</v>
      </c>
      <c r="B115" s="6">
        <v>9500</v>
      </c>
    </row>
    <row r="116" spans="1:2" ht="15.75" x14ac:dyDescent="0.3">
      <c r="A116" t="s">
        <v>1922</v>
      </c>
      <c r="B116" s="6">
        <v>9500</v>
      </c>
    </row>
    <row r="117" spans="1:2" ht="15.75" x14ac:dyDescent="0.3">
      <c r="A117" t="s">
        <v>1919</v>
      </c>
      <c r="B117" s="6">
        <v>9500</v>
      </c>
    </row>
    <row r="118" spans="1:2" ht="15.75" x14ac:dyDescent="0.3">
      <c r="A118" t="s">
        <v>1922</v>
      </c>
      <c r="B118" s="6">
        <v>9500</v>
      </c>
    </row>
    <row r="119" spans="1:2" ht="15.75" x14ac:dyDescent="0.3">
      <c r="A119" t="s">
        <v>1919</v>
      </c>
      <c r="B119" s="6">
        <v>9500</v>
      </c>
    </row>
    <row r="120" spans="1:2" ht="15.75" x14ac:dyDescent="0.3">
      <c r="A120" t="s">
        <v>1916</v>
      </c>
      <c r="B120" s="6">
        <v>9500</v>
      </c>
    </row>
    <row r="121" spans="1:2" ht="15.75" x14ac:dyDescent="0.3">
      <c r="A121" t="s">
        <v>1919</v>
      </c>
      <c r="B121" s="6">
        <v>9500</v>
      </c>
    </row>
    <row r="122" spans="1:2" ht="15.75" x14ac:dyDescent="0.3">
      <c r="A122" t="s">
        <v>1917</v>
      </c>
      <c r="B122" s="6">
        <v>9500</v>
      </c>
    </row>
    <row r="123" spans="1:2" ht="15.75" x14ac:dyDescent="0.3">
      <c r="A123" t="s">
        <v>1922</v>
      </c>
      <c r="B123" s="6">
        <v>9500</v>
      </c>
    </row>
    <row r="124" spans="1:2" ht="15.75" x14ac:dyDescent="0.3">
      <c r="A124" t="s">
        <v>1918</v>
      </c>
      <c r="B124" s="6">
        <v>9500</v>
      </c>
    </row>
    <row r="125" spans="1:2" ht="15.75" x14ac:dyDescent="0.3">
      <c r="A125" t="s">
        <v>1917</v>
      </c>
      <c r="B125" s="6">
        <v>9500</v>
      </c>
    </row>
    <row r="126" spans="1:2" ht="15.75" x14ac:dyDescent="0.3">
      <c r="A126" t="s">
        <v>1922</v>
      </c>
      <c r="B126" s="6">
        <v>9500</v>
      </c>
    </row>
    <row r="127" spans="1:2" ht="15.75" x14ac:dyDescent="0.3">
      <c r="A127" t="s">
        <v>1922</v>
      </c>
      <c r="B127" s="6">
        <v>9500</v>
      </c>
    </row>
    <row r="128" spans="1:2" ht="15.75" x14ac:dyDescent="0.3">
      <c r="A128" t="s">
        <v>1922</v>
      </c>
      <c r="B128" s="6">
        <v>9500</v>
      </c>
    </row>
    <row r="129" spans="1:2" ht="15.75" x14ac:dyDescent="0.3">
      <c r="A129" t="s">
        <v>1918</v>
      </c>
      <c r="B129" s="6">
        <v>9500</v>
      </c>
    </row>
    <row r="130" spans="1:2" ht="15.75" x14ac:dyDescent="0.3">
      <c r="A130" t="s">
        <v>1917</v>
      </c>
      <c r="B130" s="6">
        <v>9497.6640579601208</v>
      </c>
    </row>
    <row r="131" spans="1:2" ht="15.75" x14ac:dyDescent="0.3">
      <c r="A131" t="s">
        <v>1917</v>
      </c>
      <c r="B131" s="6">
        <v>9487.1235244924701</v>
      </c>
    </row>
    <row r="132" spans="1:2" ht="15.75" x14ac:dyDescent="0.3">
      <c r="A132" t="s">
        <v>1919</v>
      </c>
      <c r="B132" s="6">
        <v>9475.2265321114992</v>
      </c>
    </row>
    <row r="133" spans="1:2" ht="15.75" x14ac:dyDescent="0.3">
      <c r="A133" t="s">
        <v>1917</v>
      </c>
      <c r="B133" s="6">
        <v>9389.9050222972492</v>
      </c>
    </row>
    <row r="134" spans="1:2" ht="15.75" x14ac:dyDescent="0.3">
      <c r="A134" t="s">
        <v>1916</v>
      </c>
      <c r="B134" s="6">
        <v>9370</v>
      </c>
    </row>
    <row r="135" spans="1:2" ht="15.75" x14ac:dyDescent="0.3">
      <c r="A135" t="s">
        <v>1919</v>
      </c>
      <c r="B135" s="6">
        <v>9357.6047552103901</v>
      </c>
    </row>
    <row r="136" spans="1:2" ht="15.75" x14ac:dyDescent="0.3">
      <c r="A136" t="s">
        <v>1918</v>
      </c>
      <c r="B136" s="6">
        <v>9164.4125319253599</v>
      </c>
    </row>
    <row r="137" spans="1:2" ht="15.75" x14ac:dyDescent="0.3">
      <c r="A137" t="s">
        <v>1918</v>
      </c>
      <c r="B137" s="6">
        <v>9063.5736026266095</v>
      </c>
    </row>
    <row r="138" spans="1:2" ht="15.75" x14ac:dyDescent="0.3">
      <c r="A138" t="s">
        <v>1918</v>
      </c>
      <c r="B138" s="6">
        <v>8846.8605197051202</v>
      </c>
    </row>
    <row r="139" spans="1:2" ht="15.75" x14ac:dyDescent="0.3">
      <c r="A139" t="s">
        <v>1922</v>
      </c>
      <c r="B139" s="6">
        <v>8786.5886832576198</v>
      </c>
    </row>
    <row r="140" spans="1:2" ht="15.75" x14ac:dyDescent="0.3">
      <c r="A140" t="s">
        <v>1919</v>
      </c>
      <c r="B140" s="6">
        <v>8758.8392130253997</v>
      </c>
    </row>
    <row r="141" spans="1:2" ht="15.75" x14ac:dyDescent="0.3">
      <c r="A141" t="s">
        <v>1922</v>
      </c>
      <c r="B141" s="6">
        <v>8746.9900549941704</v>
      </c>
    </row>
    <row r="142" spans="1:2" ht="15.75" x14ac:dyDescent="0.3">
      <c r="A142" t="s">
        <v>1922</v>
      </c>
      <c r="B142" s="6">
        <v>8700</v>
      </c>
    </row>
    <row r="143" spans="1:2" ht="15.75" x14ac:dyDescent="0.3">
      <c r="A143" t="s">
        <v>1917</v>
      </c>
      <c r="B143" s="6">
        <v>8500</v>
      </c>
    </row>
    <row r="144" spans="1:2" ht="15.75" x14ac:dyDescent="0.3">
      <c r="A144" t="s">
        <v>1916</v>
      </c>
      <c r="B144" s="6">
        <v>8500</v>
      </c>
    </row>
    <row r="145" spans="1:2" ht="15.75" x14ac:dyDescent="0.3">
      <c r="A145" t="s">
        <v>1919</v>
      </c>
      <c r="B145" s="6">
        <v>8477.6607156913797</v>
      </c>
    </row>
    <row r="146" spans="1:2" ht="15.75" x14ac:dyDescent="0.3">
      <c r="A146" t="s">
        <v>1916</v>
      </c>
      <c r="B146" s="6">
        <v>8469.1889982048706</v>
      </c>
    </row>
    <row r="147" spans="1:2" ht="15.75" x14ac:dyDescent="0.3">
      <c r="A147" t="s">
        <v>1916</v>
      </c>
      <c r="B147" s="6">
        <v>8326.3702513058906</v>
      </c>
    </row>
    <row r="148" spans="1:2" ht="15.75" x14ac:dyDescent="0.3">
      <c r="A148" t="s">
        <v>1917</v>
      </c>
      <c r="B148" s="6">
        <v>8304.3653221610493</v>
      </c>
    </row>
    <row r="149" spans="1:2" ht="15.75" x14ac:dyDescent="0.3">
      <c r="A149" t="s">
        <v>1919</v>
      </c>
      <c r="B149" s="6">
        <v>8230</v>
      </c>
    </row>
    <row r="150" spans="1:2" ht="15.75" x14ac:dyDescent="0.3">
      <c r="A150" t="s">
        <v>1916</v>
      </c>
      <c r="B150" s="6">
        <v>7600</v>
      </c>
    </row>
    <row r="151" spans="1:2" ht="15.75" x14ac:dyDescent="0.3">
      <c r="A151" t="s">
        <v>1917</v>
      </c>
      <c r="B151" s="6">
        <v>7600</v>
      </c>
    </row>
    <row r="152" spans="1:2" ht="15.75" x14ac:dyDescent="0.3">
      <c r="A152" t="s">
        <v>1919</v>
      </c>
      <c r="B152" s="6">
        <v>7500</v>
      </c>
    </row>
    <row r="153" spans="1:2" ht="15.75" x14ac:dyDescent="0.3">
      <c r="A153" t="s">
        <v>1919</v>
      </c>
      <c r="B153" s="6">
        <v>7500</v>
      </c>
    </row>
    <row r="154" spans="1:2" ht="15.75" x14ac:dyDescent="0.3">
      <c r="A154" t="s">
        <v>1922</v>
      </c>
      <c r="B154" s="6">
        <v>7500</v>
      </c>
    </row>
    <row r="155" spans="1:2" ht="15.75" x14ac:dyDescent="0.3">
      <c r="A155" t="s">
        <v>1922</v>
      </c>
      <c r="B155" s="6">
        <v>7500</v>
      </c>
    </row>
    <row r="156" spans="1:2" ht="15.75" x14ac:dyDescent="0.3">
      <c r="A156" t="s">
        <v>1916</v>
      </c>
      <c r="B156" s="6">
        <v>7500</v>
      </c>
    </row>
    <row r="157" spans="1:2" ht="15.75" x14ac:dyDescent="0.3">
      <c r="A157" t="s">
        <v>1922</v>
      </c>
      <c r="B157" s="6">
        <v>7400</v>
      </c>
    </row>
    <row r="158" spans="1:2" ht="15.75" x14ac:dyDescent="0.3">
      <c r="A158" t="s">
        <v>1917</v>
      </c>
      <c r="B158" s="6">
        <v>7379.4751912537204</v>
      </c>
    </row>
    <row r="159" spans="1:2" ht="15.75" x14ac:dyDescent="0.3">
      <c r="A159" t="s">
        <v>1917</v>
      </c>
      <c r="B159" s="6">
        <v>7300</v>
      </c>
    </row>
    <row r="160" spans="1:2" ht="15.75" x14ac:dyDescent="0.3">
      <c r="A160" t="s">
        <v>1917</v>
      </c>
      <c r="B160" s="6">
        <v>7119.9580914626404</v>
      </c>
    </row>
    <row r="161" spans="1:2" ht="15.75" x14ac:dyDescent="0.3">
      <c r="A161" t="s">
        <v>1919</v>
      </c>
      <c r="B161" s="6">
        <v>7097.8406167323101</v>
      </c>
    </row>
    <row r="162" spans="1:2" ht="15.75" x14ac:dyDescent="0.3">
      <c r="A162" t="s">
        <v>1917</v>
      </c>
      <c r="B162" s="6">
        <v>6989.9171180343901</v>
      </c>
    </row>
    <row r="163" spans="1:2" ht="15.75" x14ac:dyDescent="0.3">
      <c r="A163" t="s">
        <v>1922</v>
      </c>
      <c r="B163" s="6">
        <v>6851.2632038280199</v>
      </c>
    </row>
    <row r="164" spans="1:2" ht="15.75" x14ac:dyDescent="0.3">
      <c r="A164" t="s">
        <v>1922</v>
      </c>
      <c r="B164" s="6">
        <v>6708.7920139287598</v>
      </c>
    </row>
    <row r="165" spans="1:2" ht="15.75" x14ac:dyDescent="0.3">
      <c r="A165" t="s">
        <v>1917</v>
      </c>
      <c r="B165" s="6">
        <v>6540</v>
      </c>
    </row>
    <row r="166" spans="1:2" ht="15.75" x14ac:dyDescent="0.3">
      <c r="A166" t="s">
        <v>1917</v>
      </c>
      <c r="B166" s="6">
        <v>6514.7905032278204</v>
      </c>
    </row>
    <row r="167" spans="1:2" ht="15.75" x14ac:dyDescent="0.3">
      <c r="A167" t="s">
        <v>1922</v>
      </c>
      <c r="B167" s="6">
        <v>6465.7289434037602</v>
      </c>
    </row>
    <row r="168" spans="1:2" ht="15.75" x14ac:dyDescent="0.3">
      <c r="A168" t="s">
        <v>1922</v>
      </c>
      <c r="B168" s="6">
        <v>6400.49730467064</v>
      </c>
    </row>
    <row r="169" spans="1:2" ht="15.75" x14ac:dyDescent="0.3">
      <c r="A169" t="s">
        <v>1922</v>
      </c>
      <c r="B169" s="6">
        <v>6318.79431730546</v>
      </c>
    </row>
    <row r="170" spans="1:2" ht="15.75" x14ac:dyDescent="0.3">
      <c r="A170" t="s">
        <v>1918</v>
      </c>
      <c r="B170" s="6">
        <v>6300</v>
      </c>
    </row>
    <row r="171" spans="1:2" ht="15.75" x14ac:dyDescent="0.3">
      <c r="A171" t="s">
        <v>1922</v>
      </c>
      <c r="B171" s="6">
        <v>6273.8918029696097</v>
      </c>
    </row>
    <row r="172" spans="1:2" ht="15.75" x14ac:dyDescent="0.3">
      <c r="A172" t="s">
        <v>1917</v>
      </c>
      <c r="B172" s="6">
        <v>6190.0231423895402</v>
      </c>
    </row>
    <row r="173" spans="1:2" ht="15.75" x14ac:dyDescent="0.3">
      <c r="A173" t="s">
        <v>1922</v>
      </c>
      <c r="B173" s="6">
        <v>6163.97775606916</v>
      </c>
    </row>
    <row r="174" spans="1:2" ht="15.75" x14ac:dyDescent="0.3">
      <c r="A174" t="s">
        <v>1922</v>
      </c>
      <c r="B174" s="6">
        <v>6075.4086339712203</v>
      </c>
    </row>
    <row r="175" spans="1:2" ht="15.75" x14ac:dyDescent="0.3">
      <c r="A175" t="s">
        <v>1922</v>
      </c>
      <c r="B175" s="6">
        <v>6063.3841775421897</v>
      </c>
    </row>
    <row r="176" spans="1:2" ht="15.75" x14ac:dyDescent="0.3">
      <c r="A176" t="s">
        <v>1922</v>
      </c>
      <c r="B176" s="6">
        <v>6000</v>
      </c>
    </row>
    <row r="177" spans="1:2" ht="15.75" x14ac:dyDescent="0.3">
      <c r="A177" t="s">
        <v>1917</v>
      </c>
      <c r="B177" s="6">
        <v>5728.3587570766304</v>
      </c>
    </row>
    <row r="178" spans="1:2" ht="15.75" x14ac:dyDescent="0.3">
      <c r="A178" t="s">
        <v>1922</v>
      </c>
      <c r="B178" s="6">
        <v>5614.7168288129496</v>
      </c>
    </row>
    <row r="179" spans="1:2" ht="15.75" x14ac:dyDescent="0.3">
      <c r="A179" t="s">
        <v>1918</v>
      </c>
      <c r="B179" s="6">
        <v>5614.7168288129496</v>
      </c>
    </row>
    <row r="180" spans="1:2" ht="15.75" x14ac:dyDescent="0.3">
      <c r="A180" t="s">
        <v>1922</v>
      </c>
      <c r="B180" s="6">
        <v>5600</v>
      </c>
    </row>
    <row r="181" spans="1:2" ht="15.75" x14ac:dyDescent="0.3">
      <c r="A181" t="s">
        <v>1917</v>
      </c>
      <c r="B181" s="6">
        <v>5512.8263999426299</v>
      </c>
    </row>
    <row r="182" spans="1:2" ht="15.75" x14ac:dyDescent="0.3">
      <c r="A182" t="s">
        <v>1922</v>
      </c>
      <c r="B182" s="6">
        <v>5400</v>
      </c>
    </row>
    <row r="183" spans="1:2" ht="15.75" x14ac:dyDescent="0.3">
      <c r="A183" t="s">
        <v>1922</v>
      </c>
      <c r="B183" s="6">
        <v>5400</v>
      </c>
    </row>
    <row r="184" spans="1:2" ht="15.75" x14ac:dyDescent="0.3">
      <c r="A184" t="s">
        <v>1919</v>
      </c>
      <c r="B184" s="6">
        <v>5300</v>
      </c>
    </row>
    <row r="185" spans="1:2" ht="15.75" x14ac:dyDescent="0.3">
      <c r="A185" t="s">
        <v>1922</v>
      </c>
      <c r="B185" s="6">
        <v>5261.0190876246797</v>
      </c>
    </row>
    <row r="186" spans="1:2" ht="15.75" x14ac:dyDescent="0.3">
      <c r="A186" t="s">
        <v>1916</v>
      </c>
      <c r="B186" s="6">
        <v>5239.2522577125101</v>
      </c>
    </row>
    <row r="187" spans="1:2" ht="15.75" x14ac:dyDescent="0.3">
      <c r="A187" t="s">
        <v>1922</v>
      </c>
      <c r="B187" s="6">
        <v>5163.5156268235496</v>
      </c>
    </row>
    <row r="188" spans="1:2" ht="15.75" x14ac:dyDescent="0.3">
      <c r="A188" t="s">
        <v>1918</v>
      </c>
      <c r="B188" s="6">
        <v>5148.6223896095498</v>
      </c>
    </row>
    <row r="189" spans="1:2" ht="15.75" x14ac:dyDescent="0.3">
      <c r="A189" t="s">
        <v>1922</v>
      </c>
      <c r="B189" s="6">
        <v>5096.5701893169598</v>
      </c>
    </row>
    <row r="190" spans="1:2" ht="15.75" x14ac:dyDescent="0.3">
      <c r="A190" t="s">
        <v>1919</v>
      </c>
      <c r="B190" s="6">
        <v>5000</v>
      </c>
    </row>
    <row r="191" spans="1:2" ht="15.75" x14ac:dyDescent="0.3">
      <c r="A191" t="s">
        <v>1917</v>
      </c>
      <c r="B191" s="6">
        <v>4963.4252764708399</v>
      </c>
    </row>
    <row r="192" spans="1:2" ht="15.75" x14ac:dyDescent="0.3">
      <c r="A192" t="s">
        <v>1916</v>
      </c>
      <c r="B192" s="6">
        <v>4792.56563771321</v>
      </c>
    </row>
    <row r="193" spans="1:2" ht="15.75" x14ac:dyDescent="0.3">
      <c r="A193" t="s">
        <v>1922</v>
      </c>
      <c r="B193" s="6">
        <v>4781.1190331909002</v>
      </c>
    </row>
    <row r="194" spans="1:2" ht="15.75" x14ac:dyDescent="0.3">
      <c r="A194" t="s">
        <v>1917</v>
      </c>
      <c r="B194" s="6">
        <v>4766.3312088702296</v>
      </c>
    </row>
    <row r="195" spans="1:2" ht="15.75" x14ac:dyDescent="0.3">
      <c r="A195" t="s">
        <v>1917</v>
      </c>
      <c r="B195" s="6">
        <v>4671.3122754826099</v>
      </c>
    </row>
    <row r="196" spans="1:2" ht="15.75" x14ac:dyDescent="0.3">
      <c r="A196" t="s">
        <v>1919</v>
      </c>
      <c r="B196" s="6">
        <v>4410.8742035303403</v>
      </c>
    </row>
    <row r="197" spans="1:2" ht="15.75" x14ac:dyDescent="0.3">
      <c r="A197" t="s">
        <v>1919</v>
      </c>
      <c r="B197" s="6">
        <v>4356.8076140807198</v>
      </c>
    </row>
    <row r="198" spans="1:2" ht="15.75" x14ac:dyDescent="0.3">
      <c r="A198" t="s">
        <v>1919</v>
      </c>
      <c r="B198" s="6">
        <v>4211.7216071495504</v>
      </c>
    </row>
    <row r="199" spans="1:2" ht="15.75" x14ac:dyDescent="0.3">
      <c r="A199" t="s">
        <v>1916</v>
      </c>
      <c r="B199" s="6">
        <v>4148.4602702345501</v>
      </c>
    </row>
    <row r="200" spans="1:2" ht="15.75" x14ac:dyDescent="0.3">
      <c r="A200" t="s">
        <v>1922</v>
      </c>
      <c r="B200" s="6">
        <v>4000</v>
      </c>
    </row>
    <row r="201" spans="1:2" ht="15.75" x14ac:dyDescent="0.3">
      <c r="A201" t="s">
        <v>1922</v>
      </c>
      <c r="B201" s="6">
        <v>3760</v>
      </c>
    </row>
    <row r="202" spans="1:2" ht="15.75" x14ac:dyDescent="0.3">
      <c r="A202" t="s">
        <v>1922</v>
      </c>
      <c r="B202" s="6">
        <v>3595.7813250254299</v>
      </c>
    </row>
    <row r="203" spans="1:2" ht="15.75" x14ac:dyDescent="0.3">
      <c r="A203" t="s">
        <v>1917</v>
      </c>
      <c r="B203" s="6">
        <v>3200</v>
      </c>
    </row>
    <row r="204" spans="1:2" ht="15.75" x14ac:dyDescent="0.3">
      <c r="A204" t="s">
        <v>1918</v>
      </c>
      <c r="B204" s="6">
        <v>3103.0946472095602</v>
      </c>
    </row>
    <row r="205" spans="1:2" ht="15.75" x14ac:dyDescent="0.3">
      <c r="A205" t="s">
        <v>1918</v>
      </c>
      <c r="B205" s="6">
        <v>2910</v>
      </c>
    </row>
    <row r="206" spans="1:2" ht="15.75" x14ac:dyDescent="0.3">
      <c r="A206" t="s">
        <v>1919</v>
      </c>
      <c r="B206" s="6">
        <v>2903.4006600949201</v>
      </c>
    </row>
    <row r="207" spans="1:2" ht="15.75" x14ac:dyDescent="0.3">
      <c r="A207" t="s">
        <v>1918</v>
      </c>
      <c r="B207" s="6">
        <v>2891.54626529602</v>
      </c>
    </row>
    <row r="208" spans="1:2" ht="15.75" x14ac:dyDescent="0.3">
      <c r="A208" t="s">
        <v>1917</v>
      </c>
      <c r="B208" s="6">
        <v>2855.0579108358902</v>
      </c>
    </row>
    <row r="209" spans="1:2" ht="15.75" x14ac:dyDescent="0.3">
      <c r="A209" t="s">
        <v>1919</v>
      </c>
      <c r="B209" s="6">
        <v>2724.84817491801</v>
      </c>
    </row>
    <row r="210" spans="1:2" ht="15.75" x14ac:dyDescent="0.3">
      <c r="A210" t="s">
        <v>1922</v>
      </c>
      <c r="B210" s="6">
        <v>2711.3178299134702</v>
      </c>
    </row>
    <row r="211" spans="1:2" ht="15.75" x14ac:dyDescent="0.3">
      <c r="A211" t="s">
        <v>1918</v>
      </c>
      <c r="B211" s="6">
        <v>2700</v>
      </c>
    </row>
    <row r="212" spans="1:2" ht="15.75" x14ac:dyDescent="0.3">
      <c r="A212" t="s">
        <v>1922</v>
      </c>
      <c r="B212" s="6">
        <v>2637.4090115506601</v>
      </c>
    </row>
    <row r="213" spans="1:2" ht="15.75" x14ac:dyDescent="0.3">
      <c r="A213" t="s">
        <v>1918</v>
      </c>
      <c r="B213" s="6">
        <v>2568.5583578583201</v>
      </c>
    </row>
    <row r="214" spans="1:2" ht="15.75" x14ac:dyDescent="0.3">
      <c r="A214" t="s">
        <v>1919</v>
      </c>
      <c r="B214" s="6">
        <v>2500.9726636466798</v>
      </c>
    </row>
    <row r="215" spans="1:2" ht="15.75" x14ac:dyDescent="0.3">
      <c r="A215" t="s">
        <v>1916</v>
      </c>
      <c r="B215" s="6">
        <v>2500</v>
      </c>
    </row>
    <row r="216" spans="1:2" ht="15.75" x14ac:dyDescent="0.3">
      <c r="A216" t="s">
        <v>1922</v>
      </c>
      <c r="B216" s="6">
        <v>2500</v>
      </c>
    </row>
    <row r="217" spans="1:2" ht="15.75" x14ac:dyDescent="0.3">
      <c r="A217" t="s">
        <v>1922</v>
      </c>
      <c r="B217" s="6">
        <v>2368.6366242868098</v>
      </c>
    </row>
    <row r="218" spans="1:2" ht="15.75" x14ac:dyDescent="0.3">
      <c r="A218" t="s">
        <v>1916</v>
      </c>
      <c r="B218" s="6">
        <v>2322.9565305414499</v>
      </c>
    </row>
    <row r="219" spans="1:2" ht="15.75" x14ac:dyDescent="0.3">
      <c r="A219" t="s">
        <v>1918</v>
      </c>
      <c r="B219" s="6">
        <v>2282.4949048252702</v>
      </c>
    </row>
    <row r="220" spans="1:2" ht="15.75" x14ac:dyDescent="0.3">
      <c r="A220" t="s">
        <v>1917</v>
      </c>
      <c r="B220" s="6">
        <v>2189.0701284622</v>
      </c>
    </row>
    <row r="221" spans="1:2" ht="15.75" x14ac:dyDescent="0.3">
      <c r="A221" t="s">
        <v>1922</v>
      </c>
      <c r="B221" s="6">
        <v>2091.4132798554401</v>
      </c>
    </row>
    <row r="222" spans="1:2" ht="15.75" x14ac:dyDescent="0.3">
      <c r="A222" t="s">
        <v>1917</v>
      </c>
      <c r="B222" s="6">
        <v>1928</v>
      </c>
    </row>
    <row r="223" spans="1:2" ht="15.75" x14ac:dyDescent="0.3">
      <c r="A223" t="s">
        <v>1922</v>
      </c>
      <c r="B223" s="6">
        <v>1780</v>
      </c>
    </row>
    <row r="224" spans="1:2" ht="15.75" x14ac:dyDescent="0.3">
      <c r="A224" t="s">
        <v>1922</v>
      </c>
      <c r="B224" s="6">
        <v>1759.7296563785601</v>
      </c>
    </row>
    <row r="225" spans="1:2" ht="15.75" x14ac:dyDescent="0.3">
      <c r="A225" t="s">
        <v>1917</v>
      </c>
      <c r="B225" s="6">
        <v>1737.93385616602</v>
      </c>
    </row>
    <row r="226" spans="1:2" ht="15.75" x14ac:dyDescent="0.3">
      <c r="A226" t="s">
        <v>1922</v>
      </c>
      <c r="B226" s="6">
        <v>1721.9062905217099</v>
      </c>
    </row>
    <row r="227" spans="1:2" ht="15.75" x14ac:dyDescent="0.3">
      <c r="A227" t="s">
        <v>1917</v>
      </c>
      <c r="B227" s="6">
        <v>1700</v>
      </c>
    </row>
    <row r="228" spans="1:2" ht="15.75" x14ac:dyDescent="0.3">
      <c r="A228" t="s">
        <v>1916</v>
      </c>
      <c r="B228" s="6">
        <v>1678.0982450407901</v>
      </c>
    </row>
    <row r="229" spans="1:2" ht="15.75" x14ac:dyDescent="0.3">
      <c r="A229" t="s">
        <v>1918</v>
      </c>
      <c r="B229" s="6">
        <v>1568.60559764608</v>
      </c>
    </row>
    <row r="230" spans="1:2" ht="15.75" x14ac:dyDescent="0.3">
      <c r="A230" t="s">
        <v>1922</v>
      </c>
      <c r="B230" s="6">
        <v>1513.3436847289099</v>
      </c>
    </row>
    <row r="231" spans="1:2" ht="15.75" x14ac:dyDescent="0.3">
      <c r="A231" t="s">
        <v>1919</v>
      </c>
      <c r="B231" s="6">
        <v>1500</v>
      </c>
    </row>
    <row r="232" spans="1:2" ht="15.75" x14ac:dyDescent="0.3">
      <c r="A232" t="s">
        <v>1916</v>
      </c>
      <c r="B232" s="6">
        <v>1500</v>
      </c>
    </row>
    <row r="233" spans="1:2" ht="15.75" x14ac:dyDescent="0.3">
      <c r="A233" t="s">
        <v>1922</v>
      </c>
      <c r="B233" s="6">
        <v>1500</v>
      </c>
    </row>
    <row r="234" spans="1:2" ht="15.75" x14ac:dyDescent="0.3">
      <c r="A234" t="s">
        <v>1916</v>
      </c>
      <c r="B234" s="6">
        <v>1500</v>
      </c>
    </row>
    <row r="235" spans="1:2" ht="15.75" x14ac:dyDescent="0.3">
      <c r="A235" t="s">
        <v>1917</v>
      </c>
      <c r="B235" s="6">
        <v>1500</v>
      </c>
    </row>
    <row r="236" spans="1:2" ht="15.75" x14ac:dyDescent="0.3">
      <c r="A236" t="s">
        <v>1922</v>
      </c>
      <c r="B236" s="6">
        <v>1500</v>
      </c>
    </row>
    <row r="237" spans="1:2" ht="15.75" x14ac:dyDescent="0.3">
      <c r="A237" t="s">
        <v>1919</v>
      </c>
      <c r="B237" s="6">
        <v>1500</v>
      </c>
    </row>
    <row r="238" spans="1:2" ht="15.75" x14ac:dyDescent="0.3">
      <c r="A238" t="s">
        <v>1916</v>
      </c>
      <c r="B238" s="6">
        <v>1500</v>
      </c>
    </row>
    <row r="239" spans="1:2" ht="15.75" x14ac:dyDescent="0.3">
      <c r="A239" t="s">
        <v>1922</v>
      </c>
      <c r="B239" s="6">
        <v>1500</v>
      </c>
    </row>
    <row r="240" spans="1:2" ht="15.75" x14ac:dyDescent="0.3">
      <c r="A240" t="s">
        <v>1922</v>
      </c>
      <c r="B240" s="6">
        <v>1500</v>
      </c>
    </row>
    <row r="241" spans="1:2" ht="15.75" x14ac:dyDescent="0.3">
      <c r="A241" t="s">
        <v>1919</v>
      </c>
      <c r="B241" s="6">
        <v>1500</v>
      </c>
    </row>
    <row r="242" spans="1:2" ht="15.75" x14ac:dyDescent="0.3">
      <c r="A242" t="s">
        <v>1917</v>
      </c>
      <c r="B242" s="6">
        <v>1500</v>
      </c>
    </row>
    <row r="243" spans="1:2" ht="15.75" x14ac:dyDescent="0.3">
      <c r="A243" t="s">
        <v>1916</v>
      </c>
      <c r="B243" s="6">
        <v>1500</v>
      </c>
    </row>
    <row r="244" spans="1:2" ht="15.75" x14ac:dyDescent="0.3">
      <c r="A244" t="s">
        <v>1918</v>
      </c>
      <c r="B244" s="6">
        <v>1500</v>
      </c>
    </row>
    <row r="245" spans="1:2" ht="15.75" x14ac:dyDescent="0.3">
      <c r="A245" t="s">
        <v>1917</v>
      </c>
      <c r="B245" s="6">
        <v>1500</v>
      </c>
    </row>
    <row r="246" spans="1:2" ht="15.75" x14ac:dyDescent="0.3">
      <c r="A246" t="s">
        <v>1922</v>
      </c>
      <c r="B246" s="6">
        <v>1500</v>
      </c>
    </row>
    <row r="247" spans="1:2" ht="15.75" x14ac:dyDescent="0.3">
      <c r="A247" t="s">
        <v>1919</v>
      </c>
      <c r="B247" s="6">
        <v>1500</v>
      </c>
    </row>
    <row r="248" spans="1:2" ht="15.75" x14ac:dyDescent="0.3">
      <c r="A248" t="s">
        <v>1916</v>
      </c>
      <c r="B248" s="6">
        <v>1500</v>
      </c>
    </row>
    <row r="249" spans="1:2" ht="15.75" x14ac:dyDescent="0.3">
      <c r="A249" t="s">
        <v>1922</v>
      </c>
      <c r="B249" s="6">
        <v>1500</v>
      </c>
    </row>
    <row r="250" spans="1:2" ht="15.75" x14ac:dyDescent="0.3">
      <c r="A250" t="s">
        <v>1922</v>
      </c>
      <c r="B250" s="6">
        <v>1500</v>
      </c>
    </row>
    <row r="251" spans="1:2" ht="15.75" x14ac:dyDescent="0.3">
      <c r="A251" t="s">
        <v>1922</v>
      </c>
      <c r="B251" s="6">
        <v>1500</v>
      </c>
    </row>
    <row r="252" spans="1:2" ht="15.75" x14ac:dyDescent="0.3">
      <c r="A252" t="s">
        <v>1918</v>
      </c>
      <c r="B252" s="6">
        <v>1500</v>
      </c>
    </row>
    <row r="253" spans="1:2" ht="15.75" x14ac:dyDescent="0.3">
      <c r="A253" t="s">
        <v>1919</v>
      </c>
      <c r="B253" s="6">
        <v>1500</v>
      </c>
    </row>
    <row r="254" spans="1:2" ht="15.75" x14ac:dyDescent="0.3">
      <c r="A254" t="s">
        <v>1916</v>
      </c>
      <c r="B254" s="6">
        <v>1500</v>
      </c>
    </row>
    <row r="255" spans="1:2" ht="15.75" x14ac:dyDescent="0.3">
      <c r="A255" t="s">
        <v>1919</v>
      </c>
      <c r="B255" s="6">
        <v>1500</v>
      </c>
    </row>
    <row r="256" spans="1:2" ht="15.75" x14ac:dyDescent="0.3">
      <c r="A256" t="s">
        <v>1917</v>
      </c>
      <c r="B256" s="6">
        <v>1500</v>
      </c>
    </row>
    <row r="257" spans="1:2" ht="15.75" x14ac:dyDescent="0.3">
      <c r="A257" t="s">
        <v>1922</v>
      </c>
      <c r="B257" s="6">
        <v>1500</v>
      </c>
    </row>
    <row r="258" spans="1:2" ht="15.75" x14ac:dyDescent="0.3">
      <c r="A258" t="s">
        <v>1922</v>
      </c>
      <c r="B258" s="6">
        <v>1500</v>
      </c>
    </row>
    <row r="259" spans="1:2" ht="15.75" x14ac:dyDescent="0.3">
      <c r="A259" t="s">
        <v>1922</v>
      </c>
      <c r="B259" s="6">
        <v>1500</v>
      </c>
    </row>
    <row r="260" spans="1:2" ht="15.75" x14ac:dyDescent="0.3">
      <c r="A260" t="s">
        <v>1922</v>
      </c>
      <c r="B260" s="6">
        <v>1500</v>
      </c>
    </row>
    <row r="261" spans="1:2" ht="15.75" x14ac:dyDescent="0.3">
      <c r="A261" t="s">
        <v>1918</v>
      </c>
      <c r="B261" s="6">
        <v>1500</v>
      </c>
    </row>
    <row r="262" spans="1:2" ht="15.75" x14ac:dyDescent="0.3">
      <c r="A262" t="s">
        <v>1917</v>
      </c>
      <c r="B262" s="6">
        <v>1500</v>
      </c>
    </row>
    <row r="263" spans="1:2" ht="15.75" x14ac:dyDescent="0.3">
      <c r="A263" t="s">
        <v>1917</v>
      </c>
      <c r="B263" s="6">
        <v>1500</v>
      </c>
    </row>
    <row r="264" spans="1:2" ht="15.75" x14ac:dyDescent="0.3">
      <c r="A264" t="s">
        <v>1922</v>
      </c>
      <c r="B264" s="6">
        <v>1500</v>
      </c>
    </row>
    <row r="265" spans="1:2" ht="15.75" x14ac:dyDescent="0.3">
      <c r="A265" t="s">
        <v>1918</v>
      </c>
      <c r="B265" s="6">
        <v>1500</v>
      </c>
    </row>
    <row r="266" spans="1:2" ht="15.75" x14ac:dyDescent="0.3">
      <c r="A266" t="s">
        <v>1919</v>
      </c>
      <c r="B266" s="6">
        <v>1500</v>
      </c>
    </row>
    <row r="267" spans="1:2" ht="15.75" x14ac:dyDescent="0.3">
      <c r="A267" t="s">
        <v>1922</v>
      </c>
      <c r="B267" s="6">
        <v>1500</v>
      </c>
    </row>
    <row r="268" spans="1:2" ht="15.75" x14ac:dyDescent="0.3">
      <c r="A268" t="s">
        <v>1917</v>
      </c>
      <c r="B268" s="6">
        <v>1500</v>
      </c>
    </row>
    <row r="269" spans="1:2" ht="15.75" x14ac:dyDescent="0.3">
      <c r="A269" t="s">
        <v>1922</v>
      </c>
      <c r="B269" s="6">
        <v>1500</v>
      </c>
    </row>
    <row r="270" spans="1:2" ht="15.75" x14ac:dyDescent="0.3">
      <c r="A270" t="s">
        <v>1916</v>
      </c>
      <c r="B270" s="6">
        <v>1500</v>
      </c>
    </row>
    <row r="271" spans="1:2" ht="15.75" x14ac:dyDescent="0.3">
      <c r="A271" t="s">
        <v>1918</v>
      </c>
      <c r="B271" s="6">
        <v>1500</v>
      </c>
    </row>
    <row r="272" spans="1:2" ht="15.75" x14ac:dyDescent="0.3">
      <c r="A272" t="s">
        <v>1916</v>
      </c>
      <c r="B272" s="6">
        <v>1500</v>
      </c>
    </row>
    <row r="273" spans="1:2" ht="15.75" x14ac:dyDescent="0.3">
      <c r="A273" t="s">
        <v>1917</v>
      </c>
      <c r="B273" s="6">
        <v>1500</v>
      </c>
    </row>
    <row r="274" spans="1:2" ht="15.75" x14ac:dyDescent="0.3">
      <c r="A274" t="s">
        <v>1922</v>
      </c>
      <c r="B274" s="6">
        <v>1500</v>
      </c>
    </row>
    <row r="275" spans="1:2" ht="15.75" x14ac:dyDescent="0.3">
      <c r="A275" t="s">
        <v>1918</v>
      </c>
      <c r="B275" s="6">
        <v>1500</v>
      </c>
    </row>
    <row r="276" spans="1:2" ht="15.75" x14ac:dyDescent="0.3">
      <c r="A276" t="s">
        <v>1919</v>
      </c>
      <c r="B276" s="6">
        <v>1500</v>
      </c>
    </row>
    <row r="277" spans="1:2" ht="15.75" x14ac:dyDescent="0.3">
      <c r="A277" t="s">
        <v>1916</v>
      </c>
      <c r="B277" s="6">
        <v>1500</v>
      </c>
    </row>
    <row r="278" spans="1:2" ht="15.75" x14ac:dyDescent="0.3">
      <c r="A278" t="s">
        <v>1919</v>
      </c>
      <c r="B278" s="6">
        <v>1500</v>
      </c>
    </row>
    <row r="279" spans="1:2" ht="15.75" x14ac:dyDescent="0.3">
      <c r="A279" t="s">
        <v>1919</v>
      </c>
      <c r="B279" s="6">
        <v>1500</v>
      </c>
    </row>
    <row r="280" spans="1:2" ht="15.75" x14ac:dyDescent="0.3">
      <c r="A280" t="s">
        <v>1917</v>
      </c>
      <c r="B280" s="6">
        <v>1500</v>
      </c>
    </row>
    <row r="281" spans="1:2" ht="15.75" x14ac:dyDescent="0.3">
      <c r="A281" t="s">
        <v>1916</v>
      </c>
      <c r="B281" s="6">
        <v>1500</v>
      </c>
    </row>
    <row r="282" spans="1:2" ht="15.75" x14ac:dyDescent="0.3">
      <c r="A282" t="s">
        <v>1922</v>
      </c>
      <c r="B282" s="6">
        <v>1500</v>
      </c>
    </row>
    <row r="283" spans="1:2" ht="15.75" x14ac:dyDescent="0.3">
      <c r="A283" t="s">
        <v>1917</v>
      </c>
      <c r="B283" s="6">
        <v>1500</v>
      </c>
    </row>
    <row r="284" spans="1:2" ht="15.75" x14ac:dyDescent="0.3">
      <c r="A284" t="s">
        <v>1918</v>
      </c>
      <c r="B284" s="6">
        <v>1500</v>
      </c>
    </row>
    <row r="285" spans="1:2" ht="15.75" x14ac:dyDescent="0.3">
      <c r="A285" t="s">
        <v>1919</v>
      </c>
      <c r="B285" s="6">
        <v>1500</v>
      </c>
    </row>
    <row r="286" spans="1:2" ht="15.75" x14ac:dyDescent="0.3">
      <c r="A286" t="s">
        <v>1917</v>
      </c>
      <c r="B286" s="6">
        <v>1500</v>
      </c>
    </row>
    <row r="287" spans="1:2" ht="15.75" x14ac:dyDescent="0.3">
      <c r="A287" t="s">
        <v>1922</v>
      </c>
      <c r="B287" s="6">
        <v>1500</v>
      </c>
    </row>
    <row r="288" spans="1:2" ht="15.75" x14ac:dyDescent="0.3">
      <c r="A288" t="s">
        <v>1917</v>
      </c>
      <c r="B288" s="6">
        <v>1500</v>
      </c>
    </row>
    <row r="289" spans="1:2" ht="15.75" x14ac:dyDescent="0.3">
      <c r="A289" t="s">
        <v>1917</v>
      </c>
      <c r="B289" s="6">
        <v>1500</v>
      </c>
    </row>
    <row r="290" spans="1:2" ht="15.75" x14ac:dyDescent="0.3">
      <c r="A290" t="s">
        <v>1922</v>
      </c>
      <c r="B290" s="6">
        <v>1500</v>
      </c>
    </row>
    <row r="291" spans="1:2" ht="15.75" x14ac:dyDescent="0.3">
      <c r="A291" t="s">
        <v>1922</v>
      </c>
      <c r="B291" s="6">
        <v>1500</v>
      </c>
    </row>
    <row r="292" spans="1:2" ht="15.75" x14ac:dyDescent="0.3">
      <c r="A292" t="s">
        <v>1917</v>
      </c>
      <c r="B292" s="6">
        <v>1500</v>
      </c>
    </row>
    <row r="293" spans="1:2" ht="15.75" x14ac:dyDescent="0.3">
      <c r="A293" t="s">
        <v>1922</v>
      </c>
      <c r="B293" s="6">
        <v>1500</v>
      </c>
    </row>
    <row r="294" spans="1:2" ht="15.75" x14ac:dyDescent="0.3">
      <c r="A294" t="s">
        <v>1922</v>
      </c>
      <c r="B294" s="6">
        <v>1500</v>
      </c>
    </row>
    <row r="295" spans="1:2" ht="15.75" x14ac:dyDescent="0.3">
      <c r="A295" t="s">
        <v>1922</v>
      </c>
      <c r="B295" s="6">
        <v>1500</v>
      </c>
    </row>
    <row r="296" spans="1:2" ht="15.75" x14ac:dyDescent="0.3">
      <c r="A296" t="s">
        <v>1916</v>
      </c>
      <c r="B296" s="6">
        <v>1500</v>
      </c>
    </row>
    <row r="297" spans="1:2" ht="15.75" x14ac:dyDescent="0.3">
      <c r="A297" t="s">
        <v>1919</v>
      </c>
      <c r="B297" s="6">
        <v>1500</v>
      </c>
    </row>
    <row r="298" spans="1:2" ht="15.75" x14ac:dyDescent="0.3">
      <c r="A298" t="s">
        <v>1922</v>
      </c>
      <c r="B298" s="6">
        <v>1500</v>
      </c>
    </row>
    <row r="299" spans="1:2" ht="15.75" x14ac:dyDescent="0.3">
      <c r="A299" t="s">
        <v>1917</v>
      </c>
      <c r="B299" s="6">
        <v>1500</v>
      </c>
    </row>
    <row r="300" spans="1:2" ht="15.75" x14ac:dyDescent="0.3">
      <c r="A300" t="s">
        <v>1922</v>
      </c>
      <c r="B300" s="6">
        <v>1500</v>
      </c>
    </row>
    <row r="301" spans="1:2" ht="15.75" x14ac:dyDescent="0.3">
      <c r="A301" t="s">
        <v>1922</v>
      </c>
      <c r="B301" s="6">
        <v>1500</v>
      </c>
    </row>
    <row r="302" spans="1:2" ht="15.75" x14ac:dyDescent="0.3">
      <c r="A302" t="s">
        <v>1922</v>
      </c>
      <c r="B302" s="6">
        <v>1500</v>
      </c>
    </row>
    <row r="303" spans="1:2" ht="15.75" x14ac:dyDescent="0.3">
      <c r="A303" t="s">
        <v>1922</v>
      </c>
      <c r="B303" s="6">
        <v>1500</v>
      </c>
    </row>
    <row r="304" spans="1:2" ht="15.75" x14ac:dyDescent="0.3">
      <c r="A304" t="s">
        <v>1922</v>
      </c>
      <c r="B304" s="6">
        <v>1500</v>
      </c>
    </row>
    <row r="305" spans="1:2" ht="15.75" x14ac:dyDescent="0.3">
      <c r="A305" t="s">
        <v>1919</v>
      </c>
      <c r="B305" s="6">
        <v>1500</v>
      </c>
    </row>
    <row r="306" spans="1:2" ht="15.75" x14ac:dyDescent="0.3">
      <c r="A306" t="s">
        <v>1917</v>
      </c>
      <c r="B306" s="6">
        <v>1500</v>
      </c>
    </row>
    <row r="307" spans="1:2" ht="15.75" x14ac:dyDescent="0.3">
      <c r="A307" t="s">
        <v>1922</v>
      </c>
      <c r="B307" s="6">
        <v>1500</v>
      </c>
    </row>
    <row r="308" spans="1:2" ht="15.75" x14ac:dyDescent="0.3">
      <c r="A308" t="s">
        <v>1919</v>
      </c>
      <c r="B308" s="6">
        <v>1500</v>
      </c>
    </row>
    <row r="309" spans="1:2" ht="15.75" x14ac:dyDescent="0.3">
      <c r="A309" t="s">
        <v>1917</v>
      </c>
      <c r="B309" s="6">
        <v>1500</v>
      </c>
    </row>
    <row r="310" spans="1:2" ht="15.75" x14ac:dyDescent="0.3">
      <c r="A310" t="s">
        <v>1922</v>
      </c>
      <c r="B310" s="6">
        <v>1500</v>
      </c>
    </row>
    <row r="311" spans="1:2" ht="15.75" x14ac:dyDescent="0.3">
      <c r="A311" t="s">
        <v>1917</v>
      </c>
      <c r="B311" s="6">
        <v>1500</v>
      </c>
    </row>
    <row r="312" spans="1:2" ht="15.75" x14ac:dyDescent="0.3">
      <c r="A312" t="s">
        <v>1922</v>
      </c>
      <c r="B312" s="6">
        <v>1500</v>
      </c>
    </row>
    <row r="313" spans="1:2" ht="15.75" x14ac:dyDescent="0.3">
      <c r="A313" t="s">
        <v>1922</v>
      </c>
      <c r="B313" s="6">
        <v>1500</v>
      </c>
    </row>
    <row r="314" spans="1:2" ht="15.75" x14ac:dyDescent="0.3">
      <c r="A314" t="s">
        <v>1919</v>
      </c>
      <c r="B314" s="6">
        <v>1500</v>
      </c>
    </row>
    <row r="315" spans="1:2" ht="15.75" x14ac:dyDescent="0.3">
      <c r="A315" t="s">
        <v>1922</v>
      </c>
      <c r="B315" s="6">
        <v>1500</v>
      </c>
    </row>
    <row r="316" spans="1:2" ht="15.75" x14ac:dyDescent="0.3">
      <c r="A316" t="s">
        <v>1922</v>
      </c>
      <c r="B316" s="6">
        <v>1500</v>
      </c>
    </row>
    <row r="317" spans="1:2" ht="15.75" x14ac:dyDescent="0.3">
      <c r="A317" t="s">
        <v>1922</v>
      </c>
      <c r="B317" s="6">
        <v>1500</v>
      </c>
    </row>
    <row r="318" spans="1:2" ht="15.75" x14ac:dyDescent="0.3">
      <c r="A318" t="s">
        <v>1922</v>
      </c>
      <c r="B318" s="6">
        <v>1500</v>
      </c>
    </row>
    <row r="319" spans="1:2" ht="15.75" x14ac:dyDescent="0.3">
      <c r="A319" t="s">
        <v>1917</v>
      </c>
      <c r="B319" s="6">
        <v>1500</v>
      </c>
    </row>
    <row r="320" spans="1:2" ht="15.75" x14ac:dyDescent="0.3">
      <c r="A320" t="s">
        <v>1917</v>
      </c>
      <c r="B320" s="6">
        <v>1500</v>
      </c>
    </row>
    <row r="321" spans="1:2" ht="15.75" x14ac:dyDescent="0.3">
      <c r="A321" t="s">
        <v>1922</v>
      </c>
      <c r="B321" s="6">
        <v>1500</v>
      </c>
    </row>
    <row r="322" spans="1:2" ht="15.75" x14ac:dyDescent="0.3">
      <c r="A322" t="s">
        <v>1916</v>
      </c>
      <c r="B322" s="6">
        <v>1500</v>
      </c>
    </row>
    <row r="323" spans="1:2" ht="15.75" x14ac:dyDescent="0.3">
      <c r="A323" t="s">
        <v>1916</v>
      </c>
      <c r="B323" s="6">
        <v>1500</v>
      </c>
    </row>
    <row r="324" spans="1:2" ht="15.75" x14ac:dyDescent="0.3">
      <c r="A324" t="s">
        <v>1922</v>
      </c>
      <c r="B324" s="6">
        <v>1500</v>
      </c>
    </row>
    <row r="325" spans="1:2" ht="15.75" x14ac:dyDescent="0.3">
      <c r="A325" t="s">
        <v>1918</v>
      </c>
      <c r="B325" s="6">
        <v>1500</v>
      </c>
    </row>
    <row r="326" spans="1:2" ht="15.75" x14ac:dyDescent="0.3">
      <c r="A326" t="s">
        <v>1917</v>
      </c>
      <c r="B326" s="6">
        <v>1500</v>
      </c>
    </row>
    <row r="327" spans="1:2" ht="15.75" x14ac:dyDescent="0.3">
      <c r="A327" t="s">
        <v>1922</v>
      </c>
      <c r="B327" s="6">
        <v>1500</v>
      </c>
    </row>
    <row r="328" spans="1:2" ht="15.75" x14ac:dyDescent="0.3">
      <c r="A328" t="s">
        <v>1919</v>
      </c>
      <c r="B328" s="6">
        <v>1500</v>
      </c>
    </row>
    <row r="329" spans="1:2" ht="15.75" x14ac:dyDescent="0.3">
      <c r="A329" t="s">
        <v>1922</v>
      </c>
      <c r="B329" s="6">
        <v>1500</v>
      </c>
    </row>
    <row r="330" spans="1:2" ht="15.75" x14ac:dyDescent="0.3">
      <c r="A330" t="s">
        <v>1916</v>
      </c>
      <c r="B330" s="6">
        <v>1500</v>
      </c>
    </row>
    <row r="331" spans="1:2" ht="15.75" x14ac:dyDescent="0.3">
      <c r="A331" t="s">
        <v>1917</v>
      </c>
      <c r="B331" s="6">
        <v>1500</v>
      </c>
    </row>
    <row r="332" spans="1:2" ht="15.75" x14ac:dyDescent="0.3">
      <c r="A332" t="s">
        <v>1918</v>
      </c>
      <c r="B332" s="6">
        <v>1500</v>
      </c>
    </row>
    <row r="333" spans="1:2" ht="15.75" x14ac:dyDescent="0.3">
      <c r="A333" t="s">
        <v>1919</v>
      </c>
      <c r="B333" s="6">
        <v>1450</v>
      </c>
    </row>
    <row r="334" spans="1:2" ht="15.75" x14ac:dyDescent="0.3">
      <c r="A334" t="s">
        <v>1922</v>
      </c>
      <c r="B334" s="6">
        <v>1438.83877847331</v>
      </c>
    </row>
    <row r="335" spans="1:2" ht="15.75" x14ac:dyDescent="0.3">
      <c r="A335" t="s">
        <v>1918</v>
      </c>
      <c r="B335" s="6">
        <v>1382.2721408191301</v>
      </c>
    </row>
    <row r="336" spans="1:2" ht="15.75" x14ac:dyDescent="0.3">
      <c r="A336" t="s">
        <v>1922</v>
      </c>
      <c r="B336" s="6">
        <v>1379.9788345776501</v>
      </c>
    </row>
    <row r="337" spans="1:2" ht="15.75" x14ac:dyDescent="0.3">
      <c r="A337" t="s">
        <v>1918</v>
      </c>
      <c r="B337" s="6">
        <v>1288.2023216088701</v>
      </c>
    </row>
    <row r="338" spans="1:2" ht="15.75" x14ac:dyDescent="0.3">
      <c r="A338" t="s">
        <v>1922</v>
      </c>
      <c r="B338" s="6">
        <v>1288.2023216088701</v>
      </c>
    </row>
    <row r="339" spans="1:2" ht="15.75" x14ac:dyDescent="0.3">
      <c r="A339" t="s">
        <v>1922</v>
      </c>
      <c r="B339" s="6">
        <v>1230</v>
      </c>
    </row>
    <row r="340" spans="1:2" ht="15.75" x14ac:dyDescent="0.3">
      <c r="A340" t="s">
        <v>1922</v>
      </c>
      <c r="B340" s="6">
        <v>1230</v>
      </c>
    </row>
    <row r="341" spans="1:2" ht="15.75" x14ac:dyDescent="0.3">
      <c r="A341" t="s">
        <v>1917</v>
      </c>
      <c r="B341" s="6">
        <v>1227.0815730372401</v>
      </c>
    </row>
    <row r="342" spans="1:2" ht="15.75" x14ac:dyDescent="0.3">
      <c r="A342" t="s">
        <v>1922</v>
      </c>
      <c r="B342" s="6">
        <v>1200</v>
      </c>
    </row>
    <row r="343" spans="1:2" ht="15.75" x14ac:dyDescent="0.3">
      <c r="A343" t="s">
        <v>1917</v>
      </c>
      <c r="B343" s="6">
        <v>1025.80439546911</v>
      </c>
    </row>
    <row r="344" spans="1:2" ht="15.75" x14ac:dyDescent="0.3">
      <c r="A344" t="s">
        <v>1917</v>
      </c>
      <c r="B344" s="6">
        <v>1000</v>
      </c>
    </row>
    <row r="345" spans="1:2" ht="15.75" x14ac:dyDescent="0.3">
      <c r="A345" t="s">
        <v>1916</v>
      </c>
      <c r="B345" s="6">
        <v>1000</v>
      </c>
    </row>
    <row r="346" spans="1:2" ht="15.75" x14ac:dyDescent="0.3">
      <c r="A346" t="s">
        <v>1918</v>
      </c>
      <c r="B346" s="6">
        <v>1000</v>
      </c>
    </row>
    <row r="347" spans="1:2" ht="15.75" x14ac:dyDescent="0.3">
      <c r="A347" t="s">
        <v>1922</v>
      </c>
      <c r="B347" s="6">
        <v>1000</v>
      </c>
    </row>
    <row r="348" spans="1:2" ht="15.75" x14ac:dyDescent="0.3">
      <c r="A348" t="s">
        <v>1918</v>
      </c>
      <c r="B348" s="6">
        <v>1000</v>
      </c>
    </row>
    <row r="349" spans="1:2" ht="15.75" x14ac:dyDescent="0.3">
      <c r="A349" t="s">
        <v>1918</v>
      </c>
      <c r="B349" s="6">
        <v>1000</v>
      </c>
    </row>
    <row r="350" spans="1:2" ht="15.75" x14ac:dyDescent="0.3">
      <c r="A350" t="s">
        <v>1917</v>
      </c>
      <c r="B350" s="6">
        <v>1000</v>
      </c>
    </row>
    <row r="351" spans="1:2" ht="15.75" x14ac:dyDescent="0.3">
      <c r="A351" t="s">
        <v>1922</v>
      </c>
      <c r="B351" s="6">
        <v>972.09324437361602</v>
      </c>
    </row>
    <row r="352" spans="1:2" ht="15.75" x14ac:dyDescent="0.3">
      <c r="A352" t="s">
        <v>1916</v>
      </c>
      <c r="B352" s="6">
        <v>969.30685053361901</v>
      </c>
    </row>
    <row r="353" spans="1:2" ht="15.75" x14ac:dyDescent="0.3">
      <c r="A353" t="s">
        <v>1916</v>
      </c>
      <c r="B353" s="6">
        <v>957.29252547226599</v>
      </c>
    </row>
    <row r="354" spans="1:2" ht="15.75" x14ac:dyDescent="0.3">
      <c r="A354" t="s">
        <v>1922</v>
      </c>
      <c r="B354" s="6">
        <v>951.178865328548</v>
      </c>
    </row>
    <row r="355" spans="1:2" ht="15.75" x14ac:dyDescent="0.3">
      <c r="A355" t="s">
        <v>1916</v>
      </c>
      <c r="B355" s="6">
        <v>942.86936174279003</v>
      </c>
    </row>
    <row r="356" spans="1:2" ht="15.75" x14ac:dyDescent="0.3">
      <c r="A356" t="s">
        <v>1919</v>
      </c>
      <c r="B356" s="6">
        <v>939.54715055173597</v>
      </c>
    </row>
    <row r="357" spans="1:2" ht="15.75" x14ac:dyDescent="0.3">
      <c r="A357" t="s">
        <v>1916</v>
      </c>
      <c r="B357" s="6">
        <v>933.45756551658803</v>
      </c>
    </row>
    <row r="358" spans="1:2" ht="15.75" x14ac:dyDescent="0.3">
      <c r="A358" t="s">
        <v>1919</v>
      </c>
      <c r="B358" s="6">
        <v>921.05159041783804</v>
      </c>
    </row>
    <row r="359" spans="1:2" ht="15.75" x14ac:dyDescent="0.3">
      <c r="A359" t="s">
        <v>1922</v>
      </c>
      <c r="B359" s="6">
        <v>906.46890391195802</v>
      </c>
    </row>
    <row r="360" spans="1:2" ht="15.75" x14ac:dyDescent="0.3">
      <c r="A360" t="s">
        <v>1917</v>
      </c>
      <c r="B360" s="6">
        <v>899.65041589135501</v>
      </c>
    </row>
    <row r="361" spans="1:2" ht="15.75" x14ac:dyDescent="0.3">
      <c r="A361" t="s">
        <v>1922</v>
      </c>
      <c r="B361" s="6">
        <v>851.98983398164103</v>
      </c>
    </row>
    <row r="362" spans="1:2" ht="15.75" x14ac:dyDescent="0.3">
      <c r="A362" t="s">
        <v>1917</v>
      </c>
      <c r="B362" s="6">
        <v>850</v>
      </c>
    </row>
    <row r="363" spans="1:2" ht="15.75" x14ac:dyDescent="0.3">
      <c r="A363" t="s">
        <v>1916</v>
      </c>
      <c r="B363" s="6">
        <v>850</v>
      </c>
    </row>
    <row r="364" spans="1:2" ht="15.75" x14ac:dyDescent="0.3">
      <c r="A364" t="s">
        <v>1918</v>
      </c>
      <c r="B364" s="6">
        <v>840</v>
      </c>
    </row>
    <row r="365" spans="1:2" ht="15.75" x14ac:dyDescent="0.3">
      <c r="A365" t="s">
        <v>1917</v>
      </c>
      <c r="B365" s="6">
        <v>812.99942048489299</v>
      </c>
    </row>
    <row r="366" spans="1:2" ht="15.75" x14ac:dyDescent="0.3">
      <c r="A366" t="s">
        <v>1916</v>
      </c>
      <c r="B366" s="6">
        <v>807.57771146249695</v>
      </c>
    </row>
    <row r="367" spans="1:2" ht="15.75" x14ac:dyDescent="0.3">
      <c r="A367" t="s">
        <v>1919</v>
      </c>
      <c r="B367" s="6">
        <v>788.64829000980899</v>
      </c>
    </row>
    <row r="368" spans="1:2" ht="15.75" x14ac:dyDescent="0.3">
      <c r="A368" t="s">
        <v>1922</v>
      </c>
      <c r="B368" s="6">
        <v>788.30668616620801</v>
      </c>
    </row>
    <row r="369" spans="1:2" ht="15.75" x14ac:dyDescent="0.3">
      <c r="A369" t="s">
        <v>1917</v>
      </c>
      <c r="B369" s="6">
        <v>787.681392120895</v>
      </c>
    </row>
    <row r="370" spans="1:2" ht="15.75" x14ac:dyDescent="0.3">
      <c r="A370" t="s">
        <v>1919</v>
      </c>
      <c r="B370" s="6">
        <v>775.44589490567898</v>
      </c>
    </row>
    <row r="371" spans="1:2" ht="15.75" x14ac:dyDescent="0.3">
      <c r="A371" t="s">
        <v>1917</v>
      </c>
      <c r="B371" s="6">
        <v>773.42060851468204</v>
      </c>
    </row>
    <row r="372" spans="1:2" ht="15.75" x14ac:dyDescent="0.3">
      <c r="A372" t="s">
        <v>1919</v>
      </c>
      <c r="B372" s="6">
        <v>767.64074282127797</v>
      </c>
    </row>
    <row r="373" spans="1:2" ht="15.75" x14ac:dyDescent="0.3">
      <c r="A373" t="s">
        <v>1918</v>
      </c>
      <c r="B373" s="6">
        <v>767.640591072284</v>
      </c>
    </row>
    <row r="374" spans="1:2" ht="15.75" x14ac:dyDescent="0.3">
      <c r="A374" t="s">
        <v>1916</v>
      </c>
      <c r="B374" s="6">
        <v>753.08604790074503</v>
      </c>
    </row>
    <row r="375" spans="1:2" ht="15.75" x14ac:dyDescent="0.3">
      <c r="A375" t="s">
        <v>1918</v>
      </c>
      <c r="B375" s="6">
        <v>750</v>
      </c>
    </row>
    <row r="376" spans="1:2" ht="15.75" x14ac:dyDescent="0.3">
      <c r="A376" t="s">
        <v>1918</v>
      </c>
      <c r="B376" s="6">
        <v>745.978642305829</v>
      </c>
    </row>
    <row r="377" spans="1:2" ht="15.75" x14ac:dyDescent="0.3">
      <c r="A377" t="s">
        <v>1922</v>
      </c>
      <c r="B377" s="6">
        <v>726</v>
      </c>
    </row>
    <row r="378" spans="1:2" ht="15.75" x14ac:dyDescent="0.3">
      <c r="A378" t="s">
        <v>1922</v>
      </c>
      <c r="B378" s="6">
        <v>704.224078713214</v>
      </c>
    </row>
    <row r="379" spans="1:2" ht="15.75" x14ac:dyDescent="0.3">
      <c r="A379" t="s">
        <v>1916</v>
      </c>
      <c r="B379" s="6">
        <v>702.66497333966004</v>
      </c>
    </row>
    <row r="380" spans="1:2" ht="15.75" x14ac:dyDescent="0.3">
      <c r="A380" t="s">
        <v>1919</v>
      </c>
      <c r="B380" s="6">
        <v>700</v>
      </c>
    </row>
    <row r="381" spans="1:2" ht="15.75" x14ac:dyDescent="0.3">
      <c r="A381" t="s">
        <v>1918</v>
      </c>
      <c r="B381" s="6">
        <v>696.68046574207699</v>
      </c>
    </row>
    <row r="382" spans="1:2" ht="15.75" x14ac:dyDescent="0.3">
      <c r="A382" t="s">
        <v>1922</v>
      </c>
      <c r="B382" s="6">
        <v>695.11221893532002</v>
      </c>
    </row>
    <row r="383" spans="1:2" ht="15.75" x14ac:dyDescent="0.3">
      <c r="A383" t="s">
        <v>1919</v>
      </c>
      <c r="B383" s="6">
        <v>669.37549034357301</v>
      </c>
    </row>
    <row r="384" spans="1:2" ht="15.75" x14ac:dyDescent="0.3">
      <c r="A384" t="s">
        <v>1922</v>
      </c>
      <c r="B384" s="6">
        <v>663.36226434909599</v>
      </c>
    </row>
    <row r="385" spans="1:2" ht="15.75" x14ac:dyDescent="0.3">
      <c r="A385" t="s">
        <v>1922</v>
      </c>
      <c r="B385" s="6">
        <v>660.45277403917498</v>
      </c>
    </row>
    <row r="386" spans="1:2" ht="15.75" x14ac:dyDescent="0.3">
      <c r="A386" t="s">
        <v>1922</v>
      </c>
      <c r="B386" s="6">
        <v>658.437303185921</v>
      </c>
    </row>
    <row r="387" spans="1:2" ht="15.75" x14ac:dyDescent="0.3">
      <c r="A387" t="s">
        <v>1919</v>
      </c>
      <c r="B387" s="6">
        <v>656.41320432561895</v>
      </c>
    </row>
    <row r="388" spans="1:2" ht="15.75" x14ac:dyDescent="0.3">
      <c r="A388" t="s">
        <v>1922</v>
      </c>
      <c r="B388" s="6">
        <v>622.978819045254</v>
      </c>
    </row>
    <row r="389" spans="1:2" ht="15.75" x14ac:dyDescent="0.3">
      <c r="A389" t="s">
        <v>1919</v>
      </c>
      <c r="B389" s="6">
        <v>618.46916320055902</v>
      </c>
    </row>
    <row r="390" spans="1:2" ht="15.75" x14ac:dyDescent="0.3">
      <c r="A390" t="s">
        <v>1916</v>
      </c>
      <c r="B390" s="6">
        <v>618.46916320055902</v>
      </c>
    </row>
    <row r="391" spans="1:2" ht="15.75" x14ac:dyDescent="0.3">
      <c r="A391" t="s">
        <v>1922</v>
      </c>
      <c r="B391" s="6">
        <v>618.46916320055902</v>
      </c>
    </row>
    <row r="392" spans="1:2" ht="15.75" x14ac:dyDescent="0.3">
      <c r="A392" t="s">
        <v>1922</v>
      </c>
      <c r="B392" s="6">
        <v>618.26118861472298</v>
      </c>
    </row>
    <row r="393" spans="1:2" ht="15.75" x14ac:dyDescent="0.3">
      <c r="A393" t="s">
        <v>1917</v>
      </c>
      <c r="B393" s="6">
        <v>611.78021298985504</v>
      </c>
    </row>
    <row r="394" spans="1:2" ht="15.75" x14ac:dyDescent="0.3">
      <c r="A394" t="s">
        <v>1919</v>
      </c>
      <c r="B394" s="6">
        <v>587.12550469514304</v>
      </c>
    </row>
    <row r="395" spans="1:2" ht="15.75" x14ac:dyDescent="0.3">
      <c r="A395" t="s">
        <v>1922</v>
      </c>
      <c r="B395" s="6">
        <v>585.70548688299095</v>
      </c>
    </row>
    <row r="396" spans="1:2" ht="15.75" x14ac:dyDescent="0.3">
      <c r="A396" t="s">
        <v>1917</v>
      </c>
      <c r="B396" s="6">
        <v>585.70548688299095</v>
      </c>
    </row>
    <row r="397" spans="1:2" ht="15.75" x14ac:dyDescent="0.3">
      <c r="A397" t="s">
        <v>1922</v>
      </c>
      <c r="B397" s="6">
        <v>573.59310641522097</v>
      </c>
    </row>
    <row r="398" spans="1:2" ht="15.75" x14ac:dyDescent="0.3">
      <c r="A398" t="s">
        <v>1922</v>
      </c>
      <c r="B398" s="6">
        <v>568.043827367532</v>
      </c>
    </row>
    <row r="399" spans="1:2" ht="15.75" x14ac:dyDescent="0.3">
      <c r="A399" t="s">
        <v>1919</v>
      </c>
      <c r="B399" s="6">
        <v>557.76850075566699</v>
      </c>
    </row>
    <row r="400" spans="1:2" ht="15.75" x14ac:dyDescent="0.3">
      <c r="A400" t="s">
        <v>1918</v>
      </c>
      <c r="B400" s="6">
        <v>554.55985157139605</v>
      </c>
    </row>
    <row r="401" spans="1:2" ht="15.75" x14ac:dyDescent="0.3">
      <c r="A401" t="s">
        <v>1922</v>
      </c>
      <c r="B401" s="6">
        <v>540</v>
      </c>
    </row>
    <row r="402" spans="1:2" ht="15.75" x14ac:dyDescent="0.3">
      <c r="A402" t="s">
        <v>1917</v>
      </c>
      <c r="B402" s="6">
        <v>538.64632985466994</v>
      </c>
    </row>
    <row r="403" spans="1:2" ht="15.75" x14ac:dyDescent="0.3">
      <c r="A403" t="s">
        <v>1919</v>
      </c>
      <c r="B403" s="6">
        <v>525.484036012773</v>
      </c>
    </row>
    <row r="404" spans="1:2" ht="15.75" x14ac:dyDescent="0.3">
      <c r="A404" t="s">
        <v>1917</v>
      </c>
      <c r="B404" s="6">
        <v>520</v>
      </c>
    </row>
    <row r="405" spans="1:2" ht="15.75" x14ac:dyDescent="0.3">
      <c r="A405" t="s">
        <v>1919</v>
      </c>
      <c r="B405" s="6">
        <v>519.83410220161397</v>
      </c>
    </row>
    <row r="406" spans="1:2" ht="15.75" x14ac:dyDescent="0.3">
      <c r="A406" t="s">
        <v>1918</v>
      </c>
      <c r="B406" s="6">
        <v>491.25198529020702</v>
      </c>
    </row>
    <row r="407" spans="1:2" ht="15.75" x14ac:dyDescent="0.3">
      <c r="A407" t="s">
        <v>1917</v>
      </c>
      <c r="B407" s="6">
        <v>481.26238537476303</v>
      </c>
    </row>
    <row r="408" spans="1:2" ht="15.75" x14ac:dyDescent="0.3">
      <c r="A408" t="s">
        <v>1919</v>
      </c>
      <c r="B408" s="6">
        <v>480.23697380661099</v>
      </c>
    </row>
    <row r="409" spans="1:2" ht="15.75" x14ac:dyDescent="0.3">
      <c r="A409" t="s">
        <v>1922</v>
      </c>
      <c r="B409" s="6">
        <v>479.44845860386903</v>
      </c>
    </row>
    <row r="410" spans="1:2" ht="15.75" x14ac:dyDescent="0.3">
      <c r="A410" t="s">
        <v>1918</v>
      </c>
      <c r="B410" s="6">
        <v>475.98940927973598</v>
      </c>
    </row>
    <row r="411" spans="1:2" ht="15.75" x14ac:dyDescent="0.3">
      <c r="A411" t="s">
        <v>1922</v>
      </c>
      <c r="B411" s="6">
        <v>475.75609455991997</v>
      </c>
    </row>
    <row r="412" spans="1:2" ht="15.75" x14ac:dyDescent="0.3">
      <c r="A412" t="s">
        <v>1917</v>
      </c>
      <c r="B412" s="6">
        <v>474.41659405202802</v>
      </c>
    </row>
    <row r="413" spans="1:2" ht="15.75" x14ac:dyDescent="0.3">
      <c r="A413" t="s">
        <v>1919</v>
      </c>
      <c r="B413" s="6">
        <v>469.60288500642997</v>
      </c>
    </row>
    <row r="414" spans="1:2" ht="15.75" x14ac:dyDescent="0.3">
      <c r="A414" t="s">
        <v>1922</v>
      </c>
      <c r="B414" s="6">
        <v>460.89489546675702</v>
      </c>
    </row>
    <row r="415" spans="1:2" ht="15.75" x14ac:dyDescent="0.3">
      <c r="A415" t="s">
        <v>1922</v>
      </c>
      <c r="B415" s="6">
        <v>459.28476549100799</v>
      </c>
    </row>
    <row r="416" spans="1:2" ht="15.75" x14ac:dyDescent="0.3">
      <c r="A416" t="s">
        <v>1917</v>
      </c>
      <c r="B416" s="6">
        <v>459.28476549100799</v>
      </c>
    </row>
    <row r="417" spans="1:2" ht="15.75" x14ac:dyDescent="0.3">
      <c r="A417" t="s">
        <v>1922</v>
      </c>
      <c r="B417" s="6">
        <v>450</v>
      </c>
    </row>
    <row r="418" spans="1:2" ht="15.75" x14ac:dyDescent="0.3">
      <c r="A418" t="s">
        <v>1917</v>
      </c>
      <c r="B418" s="6">
        <v>443.98998918419301</v>
      </c>
    </row>
    <row r="419" spans="1:2" ht="15.75" x14ac:dyDescent="0.3">
      <c r="A419" t="s">
        <v>1916</v>
      </c>
      <c r="B419" s="6">
        <v>440.00135868523699</v>
      </c>
    </row>
    <row r="420" spans="1:2" ht="15.75" x14ac:dyDescent="0.3">
      <c r="A420" t="s">
        <v>1918</v>
      </c>
      <c r="B420" s="6">
        <v>430.43241699550202</v>
      </c>
    </row>
    <row r="421" spans="1:2" ht="15.75" x14ac:dyDescent="0.3">
      <c r="A421" t="s">
        <v>1916</v>
      </c>
      <c r="B421" s="6">
        <v>430</v>
      </c>
    </row>
    <row r="422" spans="1:2" ht="15.75" x14ac:dyDescent="0.3">
      <c r="A422" t="s">
        <v>1917</v>
      </c>
      <c r="B422" s="6">
        <v>420.045319673412</v>
      </c>
    </row>
    <row r="423" spans="1:2" ht="15.75" x14ac:dyDescent="0.3">
      <c r="A423" t="s">
        <v>1922</v>
      </c>
      <c r="B423" s="6">
        <v>415.04744091550998</v>
      </c>
    </row>
    <row r="424" spans="1:2" ht="15.75" x14ac:dyDescent="0.3">
      <c r="A424" t="s">
        <v>1922</v>
      </c>
      <c r="B424" s="6">
        <v>398.09270556066099</v>
      </c>
    </row>
    <row r="425" spans="1:2" ht="15.75" x14ac:dyDescent="0.3">
      <c r="A425" t="s">
        <v>1922</v>
      </c>
      <c r="B425" s="6">
        <v>395.91958481062102</v>
      </c>
    </row>
    <row r="426" spans="1:2" ht="15.75" x14ac:dyDescent="0.3">
      <c r="A426" t="s">
        <v>1919</v>
      </c>
      <c r="B426" s="6">
        <v>392.04033943938202</v>
      </c>
    </row>
    <row r="427" spans="1:2" ht="15.75" x14ac:dyDescent="0.3">
      <c r="A427" t="s">
        <v>1922</v>
      </c>
      <c r="B427" s="6">
        <v>386.011424105174</v>
      </c>
    </row>
    <row r="428" spans="1:2" ht="15.75" x14ac:dyDescent="0.3">
      <c r="A428" t="s">
        <v>1922</v>
      </c>
      <c r="B428" s="6">
        <v>374.47089828204901</v>
      </c>
    </row>
    <row r="429" spans="1:2" ht="15.75" x14ac:dyDescent="0.3">
      <c r="A429" t="s">
        <v>1916</v>
      </c>
      <c r="B429" s="6">
        <v>373.65406767253199</v>
      </c>
    </row>
    <row r="430" spans="1:2" ht="15.75" x14ac:dyDescent="0.3">
      <c r="A430" t="s">
        <v>1918</v>
      </c>
      <c r="B430" s="6">
        <v>371.80432355577398</v>
      </c>
    </row>
    <row r="431" spans="1:2" ht="15.75" x14ac:dyDescent="0.3">
      <c r="A431" t="s">
        <v>1922</v>
      </c>
      <c r="B431" s="6">
        <v>369.16325329443299</v>
      </c>
    </row>
    <row r="432" spans="1:2" ht="15.75" x14ac:dyDescent="0.3">
      <c r="A432" t="s">
        <v>1922</v>
      </c>
      <c r="B432" s="6">
        <v>367.73734548621502</v>
      </c>
    </row>
    <row r="433" spans="1:2" ht="15.75" x14ac:dyDescent="0.3">
      <c r="A433" t="s">
        <v>1918</v>
      </c>
      <c r="B433" s="6">
        <v>363.01661683714099</v>
      </c>
    </row>
    <row r="434" spans="1:2" ht="15.75" x14ac:dyDescent="0.3">
      <c r="A434" t="s">
        <v>1922</v>
      </c>
      <c r="B434" s="6">
        <v>359.97713098893701</v>
      </c>
    </row>
    <row r="435" spans="1:2" ht="15.75" x14ac:dyDescent="0.3">
      <c r="A435" t="s">
        <v>1922</v>
      </c>
      <c r="B435" s="6">
        <v>356.91702389710002</v>
      </c>
    </row>
    <row r="436" spans="1:2" ht="15.75" x14ac:dyDescent="0.3">
      <c r="A436" t="s">
        <v>1922</v>
      </c>
      <c r="B436" s="6">
        <v>350.76710902160499</v>
      </c>
    </row>
    <row r="437" spans="1:2" ht="15.75" x14ac:dyDescent="0.3">
      <c r="A437" t="s">
        <v>1916</v>
      </c>
      <c r="B437" s="6">
        <v>344.20781899791899</v>
      </c>
    </row>
    <row r="438" spans="1:2" ht="15.75" x14ac:dyDescent="0.3">
      <c r="A438" t="s">
        <v>1919</v>
      </c>
      <c r="B438" s="6">
        <v>321.13619824797001</v>
      </c>
    </row>
    <row r="439" spans="1:2" ht="15.75" x14ac:dyDescent="0.3">
      <c r="A439" t="s">
        <v>1922</v>
      </c>
      <c r="B439" s="6">
        <v>317.14524622461403</v>
      </c>
    </row>
    <row r="440" spans="1:2" ht="15.75" x14ac:dyDescent="0.3">
      <c r="A440" t="s">
        <v>1916</v>
      </c>
      <c r="B440" s="6">
        <v>308.34884938781101</v>
      </c>
    </row>
    <row r="441" spans="1:2" ht="15.75" x14ac:dyDescent="0.3">
      <c r="A441" t="s">
        <v>1922</v>
      </c>
      <c r="B441" s="6">
        <v>300.808682375297</v>
      </c>
    </row>
    <row r="442" spans="1:2" ht="15.75" x14ac:dyDescent="0.3">
      <c r="A442" t="s">
        <v>1922</v>
      </c>
      <c r="B442" s="6">
        <v>295.36425398299599</v>
      </c>
    </row>
    <row r="443" spans="1:2" ht="15.75" x14ac:dyDescent="0.3">
      <c r="A443" t="s">
        <v>1919</v>
      </c>
      <c r="B443" s="6">
        <v>283.017642554421</v>
      </c>
    </row>
    <row r="444" spans="1:2" ht="15.75" x14ac:dyDescent="0.3">
      <c r="A444" t="s">
        <v>1916</v>
      </c>
      <c r="B444" s="6">
        <v>278.88749449666398</v>
      </c>
    </row>
    <row r="445" spans="1:2" ht="15.75" x14ac:dyDescent="0.3">
      <c r="A445" t="s">
        <v>1917</v>
      </c>
      <c r="B445" s="6">
        <v>272.81530034096198</v>
      </c>
    </row>
    <row r="446" spans="1:2" ht="15.75" x14ac:dyDescent="0.3">
      <c r="A446" t="s">
        <v>1916</v>
      </c>
      <c r="B446" s="6">
        <v>268.073967615838</v>
      </c>
    </row>
    <row r="447" spans="1:2" ht="15.75" x14ac:dyDescent="0.3">
      <c r="A447" t="s">
        <v>1919</v>
      </c>
      <c r="B447" s="6">
        <v>242.10715510196599</v>
      </c>
    </row>
    <row r="448" spans="1:2" ht="15.75" x14ac:dyDescent="0.3">
      <c r="A448" t="s">
        <v>1917</v>
      </c>
      <c r="B448" s="6">
        <v>234.029260524927</v>
      </c>
    </row>
    <row r="449" spans="1:2" ht="15.75" x14ac:dyDescent="0.3">
      <c r="A449" t="s">
        <v>1917</v>
      </c>
      <c r="B449" s="6">
        <v>220.573894709874</v>
      </c>
    </row>
    <row r="450" spans="1:2" ht="15.75" x14ac:dyDescent="0.3">
      <c r="A450" t="s">
        <v>1919</v>
      </c>
      <c r="B450" s="6">
        <v>217.27134317407501</v>
      </c>
    </row>
    <row r="451" spans="1:2" ht="15.75" x14ac:dyDescent="0.3">
      <c r="A451" t="s">
        <v>1919</v>
      </c>
      <c r="B451" s="6">
        <v>198.516375375194</v>
      </c>
    </row>
    <row r="452" spans="1:2" ht="15.75" x14ac:dyDescent="0.3">
      <c r="A452" t="s">
        <v>1922</v>
      </c>
      <c r="B452" s="6">
        <v>194.76043370859199</v>
      </c>
    </row>
    <row r="453" spans="1:2" ht="15.75" x14ac:dyDescent="0.3">
      <c r="A453" t="s">
        <v>1916</v>
      </c>
      <c r="B453" s="6">
        <v>159.04619252292301</v>
      </c>
    </row>
    <row r="454" spans="1:2" ht="15.75" x14ac:dyDescent="0.3">
      <c r="A454" t="s">
        <v>1917</v>
      </c>
      <c r="B454" s="6">
        <v>153.381169538802</v>
      </c>
    </row>
    <row r="455" spans="1:2" ht="15.75" x14ac:dyDescent="0.3">
      <c r="A455" t="s">
        <v>1919</v>
      </c>
      <c r="B455" s="6">
        <v>151.15038470408601</v>
      </c>
    </row>
    <row r="456" spans="1:2" ht="15.75" x14ac:dyDescent="0.3">
      <c r="A456" t="s">
        <v>1922</v>
      </c>
      <c r="B456" s="6">
        <v>144.61121434189499</v>
      </c>
    </row>
    <row r="457" spans="1:2" ht="15.75" x14ac:dyDescent="0.3">
      <c r="A457" t="s">
        <v>1922</v>
      </c>
      <c r="B457" s="6">
        <v>127.363789032357</v>
      </c>
    </row>
    <row r="458" spans="1:2" ht="15.75" x14ac:dyDescent="0.3">
      <c r="A458" t="s">
        <v>1922</v>
      </c>
      <c r="B458" s="6">
        <v>127.363789032357</v>
      </c>
    </row>
    <row r="459" spans="1:2" ht="15.75" x14ac:dyDescent="0.3">
      <c r="A459" t="s">
        <v>1916</v>
      </c>
      <c r="B459" s="6">
        <v>125.799546208362</v>
      </c>
    </row>
    <row r="460" spans="1:2" ht="15.75" x14ac:dyDescent="0.3">
      <c r="A460" t="s">
        <v>1922</v>
      </c>
      <c r="B460" s="6">
        <v>120.62753324200899</v>
      </c>
    </row>
    <row r="461" spans="1:2" ht="15.75" x14ac:dyDescent="0.3">
      <c r="A461" t="s">
        <v>1918</v>
      </c>
      <c r="B461" s="6">
        <v>120</v>
      </c>
    </row>
    <row r="462" spans="1:2" ht="15.75" x14ac:dyDescent="0.3">
      <c r="A462" t="s">
        <v>1922</v>
      </c>
      <c r="B462" s="6">
        <v>90.522945695275496</v>
      </c>
    </row>
    <row r="463" spans="1:2" ht="15.75" x14ac:dyDescent="0.3">
      <c r="A463" t="s">
        <v>1917</v>
      </c>
      <c r="B463" s="6">
        <v>90</v>
      </c>
    </row>
    <row r="464" spans="1:2" ht="15.75" x14ac:dyDescent="0.3">
      <c r="A464" t="s">
        <v>1917</v>
      </c>
      <c r="B464" s="6">
        <v>85.340273519963603</v>
      </c>
    </row>
    <row r="465" spans="1:2" ht="15.75" x14ac:dyDescent="0.3">
      <c r="A465" t="s">
        <v>1922</v>
      </c>
      <c r="B465" s="6">
        <v>78.5469795729921</v>
      </c>
    </row>
    <row r="466" spans="1:2" ht="15.75" x14ac:dyDescent="0.3">
      <c r="A466" t="s">
        <v>1917</v>
      </c>
      <c r="B466" s="6">
        <v>76.989638932025997</v>
      </c>
    </row>
    <row r="467" spans="1:2" ht="15.75" x14ac:dyDescent="0.3">
      <c r="A467" t="s">
        <v>1919</v>
      </c>
      <c r="B467" s="6">
        <v>76.989638932025997</v>
      </c>
    </row>
    <row r="468" spans="1:2" ht="15.75" x14ac:dyDescent="0.3">
      <c r="A468" t="s">
        <v>1916</v>
      </c>
      <c r="B468" s="6">
        <v>74.678311268991195</v>
      </c>
    </row>
    <row r="469" spans="1:2" ht="15.75" x14ac:dyDescent="0.3">
      <c r="A469" t="s">
        <v>1916</v>
      </c>
      <c r="B469" s="6">
        <v>62.158911812909501</v>
      </c>
    </row>
    <row r="470" spans="1:2" ht="15.75" x14ac:dyDescent="0.3">
      <c r="A470" t="s">
        <v>1919</v>
      </c>
      <c r="B470" s="6">
        <v>36.684701848330697</v>
      </c>
    </row>
    <row r="471" spans="1:2" ht="15.75" x14ac:dyDescent="0.3">
      <c r="A471" t="s">
        <v>1922</v>
      </c>
      <c r="B471" s="6">
        <v>30.688579780824799</v>
      </c>
    </row>
    <row r="472" spans="1:2" ht="15.75" x14ac:dyDescent="0.3">
      <c r="A472" t="s">
        <v>1917</v>
      </c>
      <c r="B472" s="6">
        <v>4.7349788780394197</v>
      </c>
    </row>
    <row r="473" spans="1:2" ht="15.75" x14ac:dyDescent="0.3">
      <c r="A473" t="s">
        <v>1922</v>
      </c>
      <c r="B473" s="6"/>
    </row>
    <row r="474" spans="1:2" ht="15.75" x14ac:dyDescent="0.3">
      <c r="A474" t="s">
        <v>1917</v>
      </c>
      <c r="B474" s="6"/>
    </row>
    <row r="475" spans="1:2" ht="15.75" x14ac:dyDescent="0.3">
      <c r="A475" t="s">
        <v>1922</v>
      </c>
      <c r="B475" s="6"/>
    </row>
    <row r="476" spans="1:2" ht="15.75" x14ac:dyDescent="0.3">
      <c r="A476" t="s">
        <v>1919</v>
      </c>
      <c r="B476" s="6"/>
    </row>
    <row r="477" spans="1:2" ht="15.75" x14ac:dyDescent="0.3">
      <c r="A477" t="s">
        <v>1922</v>
      </c>
      <c r="B477" s="6"/>
    </row>
    <row r="478" spans="1:2" ht="15.75" x14ac:dyDescent="0.3">
      <c r="A478" t="s">
        <v>1918</v>
      </c>
      <c r="B478" s="6"/>
    </row>
    <row r="479" spans="1:2" ht="15.75" x14ac:dyDescent="0.3">
      <c r="A479" t="s">
        <v>1916</v>
      </c>
      <c r="B479" s="6"/>
    </row>
    <row r="480" spans="1:2" ht="15.75" x14ac:dyDescent="0.3">
      <c r="A480" t="s">
        <v>1922</v>
      </c>
      <c r="B480" s="6"/>
    </row>
    <row r="481" spans="1:2" ht="15.75" x14ac:dyDescent="0.3">
      <c r="A481" t="s">
        <v>1918</v>
      </c>
      <c r="B481" s="6"/>
    </row>
    <row r="482" spans="1:2" ht="15.75" x14ac:dyDescent="0.3">
      <c r="A482" t="s">
        <v>1918</v>
      </c>
      <c r="B482" s="6"/>
    </row>
  </sheetData>
  <sortState xmlns:xlrd2="http://schemas.microsoft.com/office/spreadsheetml/2017/richdata2" ref="A2:B482">
    <sortCondition descending="1" ref="B2:B482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e661e98-834e-4920-9c39-b3e542bb6665}" enabled="0" method="" siteId="{0e661e98-834e-4920-9c39-b3e542bb66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Cleaned Data</vt:lpstr>
      <vt:lpstr>Analysis Sheet</vt:lpstr>
      <vt:lpstr>Sheet7</vt:lpstr>
      <vt:lpstr>KPIS</vt:lpstr>
      <vt:lpstr>KPI's</vt:lpstr>
      <vt:lpstr>Dashoards insights</vt:lpstr>
      <vt:lpstr>Dashboard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ANAGU</dc:creator>
  <cp:lastModifiedBy>DELL</cp:lastModifiedBy>
  <dcterms:created xsi:type="dcterms:W3CDTF">2025-07-26T13:36:29Z</dcterms:created>
  <dcterms:modified xsi:type="dcterms:W3CDTF">2026-01-21T14:11:04Z</dcterms:modified>
</cp:coreProperties>
</file>